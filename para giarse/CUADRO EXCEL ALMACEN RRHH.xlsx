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EVO NOTAS DE INGRESO ACTIVOS\AÑO 2026\INFORMES\SISTEMA REPUESTOS\FORMATOS\"/>
    </mc:Choice>
  </mc:AlternateContent>
  <xr:revisionPtr revIDLastSave="0" documentId="13_ncr:1_{98B1CED7-585C-4CCB-B3B3-FB587F900E76}" xr6:coauthVersionLast="47" xr6:coauthVersionMax="47" xr10:uidLastSave="{00000000-0000-0000-0000-000000000000}"/>
  <bookViews>
    <workbookView xWindow="-120" yWindow="-120" windowWidth="20730" windowHeight="11160" xr2:uid="{F964EB26-4C23-4AAF-9B0C-4FB24AF3BF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X50" i="1" l="1"/>
  <c r="AX49" i="1"/>
  <c r="AX48" i="1"/>
  <c r="AX47" i="1"/>
  <c r="AX46" i="1"/>
  <c r="AU54" i="1"/>
  <c r="Q54" i="1"/>
  <c r="S54" i="1" s="1"/>
  <c r="AV54" i="1" s="1"/>
  <c r="AX54" i="1" s="1"/>
  <c r="AU53" i="1"/>
  <c r="Q53" i="1"/>
  <c r="S53" i="1" s="1"/>
  <c r="AU52" i="1"/>
  <c r="Q52" i="1"/>
  <c r="S52" i="1" s="1"/>
  <c r="AV52" i="1" s="1"/>
  <c r="AX52" i="1" s="1"/>
  <c r="AU51" i="1"/>
  <c r="Q51" i="1"/>
  <c r="S51" i="1" s="1"/>
  <c r="AV51" i="1" s="1"/>
  <c r="AX51" i="1" s="1"/>
  <c r="AU50" i="1"/>
  <c r="S50" i="1"/>
  <c r="AV50" i="1" s="1"/>
  <c r="Q50" i="1"/>
  <c r="AU49" i="1"/>
  <c r="AV49" i="1" s="1"/>
  <c r="S49" i="1"/>
  <c r="Q49" i="1"/>
  <c r="AU48" i="1"/>
  <c r="Q48" i="1"/>
  <c r="S48" i="1" s="1"/>
  <c r="AV48" i="1" s="1"/>
  <c r="AU47" i="1"/>
  <c r="Q47" i="1"/>
  <c r="S47" i="1" s="1"/>
  <c r="AV47" i="1" s="1"/>
  <c r="AU46" i="1"/>
  <c r="Q46" i="1"/>
  <c r="S46" i="1" s="1"/>
  <c r="AV46" i="1" s="1"/>
  <c r="AU45" i="1"/>
  <c r="Q45" i="1"/>
  <c r="S45" i="1" s="1"/>
  <c r="AV45" i="1" s="1"/>
  <c r="AX45" i="1" s="1"/>
  <c r="AU44" i="1"/>
  <c r="Q44" i="1"/>
  <c r="S44" i="1" s="1"/>
  <c r="AV44" i="1" s="1"/>
  <c r="AX44" i="1" s="1"/>
  <c r="AU43" i="1"/>
  <c r="Q43" i="1"/>
  <c r="S43" i="1" s="1"/>
  <c r="AV43" i="1" s="1"/>
  <c r="AX43" i="1" s="1"/>
  <c r="AV53" i="1" l="1"/>
  <c r="AX53" i="1" s="1"/>
  <c r="BF38" i="1" l="1"/>
  <c r="Q38" i="1"/>
  <c r="BF37" i="1"/>
  <c r="Q37" i="1"/>
  <c r="BG37" i="1" s="1"/>
  <c r="BI37" i="1" s="1"/>
  <c r="BF36" i="1"/>
  <c r="Q36" i="1"/>
  <c r="BF35" i="1"/>
  <c r="Q35" i="1"/>
  <c r="BF34" i="1"/>
  <c r="Q34" i="1"/>
  <c r="BF33" i="1"/>
  <c r="Q33" i="1"/>
  <c r="BG33" i="1" s="1"/>
  <c r="BI33" i="1" s="1"/>
  <c r="BF32" i="1"/>
  <c r="BG32" i="1" s="1"/>
  <c r="BI32" i="1" s="1"/>
  <c r="Q32" i="1"/>
  <c r="BF31" i="1"/>
  <c r="Q31" i="1"/>
  <c r="BG31" i="1" s="1"/>
  <c r="BI31" i="1" s="1"/>
  <c r="BF30" i="1"/>
  <c r="Q30" i="1"/>
  <c r="BF29" i="1"/>
  <c r="Q29" i="1"/>
  <c r="BG29" i="1" s="1"/>
  <c r="BI29" i="1" s="1"/>
  <c r="BF28" i="1"/>
  <c r="Q28" i="1"/>
  <c r="BF27" i="1"/>
  <c r="Q27" i="1"/>
  <c r="BG27" i="1" s="1"/>
  <c r="BI27" i="1" s="1"/>
  <c r="BF26" i="1"/>
  <c r="Q26" i="1"/>
  <c r="BF25" i="1"/>
  <c r="Q25" i="1"/>
  <c r="BG25" i="1" s="1"/>
  <c r="BI25" i="1" s="1"/>
  <c r="BF24" i="1"/>
  <c r="Q24" i="1"/>
  <c r="BF23" i="1"/>
  <c r="Q23" i="1"/>
  <c r="BF22" i="1"/>
  <c r="Q22" i="1"/>
  <c r="BG22" i="1" l="1"/>
  <c r="BG34" i="1"/>
  <c r="BI34" i="1" s="1"/>
  <c r="BG23" i="1"/>
  <c r="BI23" i="1" s="1"/>
  <c r="BG38" i="1"/>
  <c r="BI38" i="1" s="1"/>
  <c r="BG36" i="1"/>
  <c r="BI36" i="1" s="1"/>
  <c r="BG24" i="1"/>
  <c r="BI24" i="1" s="1"/>
  <c r="BG26" i="1"/>
  <c r="BI26" i="1" s="1"/>
  <c r="BG35" i="1"/>
  <c r="BI35" i="1" s="1"/>
  <c r="BG28" i="1"/>
  <c r="BI28" i="1" s="1"/>
  <c r="BG30" i="1"/>
  <c r="BI30" i="1" s="1"/>
  <c r="BI22" i="1"/>
  <c r="AY17" i="1" l="1"/>
  <c r="Q17" i="1"/>
  <c r="AZ17" i="1" s="1"/>
  <c r="BB17" i="1" s="1"/>
  <c r="AY16" i="1"/>
  <c r="Q16" i="1"/>
  <c r="AY15" i="1"/>
  <c r="Q15" i="1"/>
  <c r="S15" i="1" s="1"/>
  <c r="AY14" i="1"/>
  <c r="AZ14" i="1" s="1"/>
  <c r="BB14" i="1" s="1"/>
  <c r="Q14" i="1"/>
  <c r="S14" i="1" s="1"/>
  <c r="AY13" i="1"/>
  <c r="Q13" i="1"/>
  <c r="S13" i="1" s="1"/>
  <c r="AY12" i="1"/>
  <c r="Q12" i="1"/>
  <c r="AZ12" i="1" s="1"/>
  <c r="BB12" i="1" s="1"/>
  <c r="AY11" i="1"/>
  <c r="S11" i="1"/>
  <c r="Q11" i="1"/>
  <c r="AY10" i="1"/>
  <c r="Q10" i="1"/>
  <c r="S10" i="1" s="1"/>
  <c r="AZ9" i="1"/>
  <c r="BB9" i="1" s="1"/>
  <c r="AY9" i="1"/>
  <c r="Q9" i="1"/>
  <c r="S9" i="1" s="1"/>
  <c r="AY8" i="1"/>
  <c r="S8" i="1"/>
  <c r="Q8" i="1"/>
  <c r="AY7" i="1"/>
  <c r="Q7" i="1"/>
  <c r="S7" i="1" s="1"/>
  <c r="AY6" i="1"/>
  <c r="Q6" i="1"/>
  <c r="S6" i="1" s="1"/>
  <c r="AZ16" i="1" l="1"/>
  <c r="BB16" i="1" s="1"/>
  <c r="AZ8" i="1"/>
  <c r="BB8" i="1" s="1"/>
  <c r="AZ11" i="1"/>
  <c r="BB11" i="1" s="1"/>
  <c r="S17" i="1"/>
  <c r="AZ6" i="1"/>
  <c r="BB6" i="1" s="1"/>
  <c r="AZ10" i="1"/>
  <c r="BB10" i="1" s="1"/>
  <c r="AZ13" i="1"/>
  <c r="BB13" i="1" s="1"/>
  <c r="AZ15" i="1"/>
  <c r="BB15" i="1" s="1"/>
  <c r="S16" i="1"/>
  <c r="S12" i="1"/>
  <c r="AZ7" i="1"/>
  <c r="BB7" i="1" s="1"/>
</calcChain>
</file>

<file path=xl/sharedStrings.xml><?xml version="1.0" encoding="utf-8"?>
<sst xmlns="http://schemas.openxmlformats.org/spreadsheetml/2006/main" count="529" uniqueCount="208">
  <si>
    <t>PERIODO AL 11.09.26</t>
  </si>
  <si>
    <t xml:space="preserve">DEVOL. </t>
  </si>
  <si>
    <t>I N G R E S O S</t>
  </si>
  <si>
    <t>TOTAL</t>
  </si>
  <si>
    <t xml:space="preserve">   S A L I D A S          S A L I D A S        S A L I D A S        S A L I D A S        S A L I D A S          S A L I D A S          S A L I D A S        S A L I D A S        S A L I D  A S        S A L I D A S        S A L I D A S        S A L I D A S          S A L I D A S       S A L I D A S        S A L I D A S</t>
  </si>
  <si>
    <t>INVENTARIO</t>
  </si>
  <si>
    <t>ITEM</t>
  </si>
  <si>
    <t>UBICAC</t>
  </si>
  <si>
    <t>Fecha</t>
  </si>
  <si>
    <t>N/I</t>
  </si>
  <si>
    <t>O/C  Nº Externa</t>
  </si>
  <si>
    <t>DOC</t>
  </si>
  <si>
    <t xml:space="preserve"> Nº</t>
  </si>
  <si>
    <t>Proveedor</t>
  </si>
  <si>
    <t>Detalle</t>
  </si>
  <si>
    <t>Máquina - MOTIVO</t>
  </si>
  <si>
    <t>UNID MED</t>
  </si>
  <si>
    <t>Cantidad</t>
  </si>
  <si>
    <t>DEVOL. ACT.</t>
  </si>
  <si>
    <t>Nº GUIA</t>
  </si>
  <si>
    <t>CANT.</t>
  </si>
  <si>
    <t>INGRESO</t>
  </si>
  <si>
    <t>DESTINO</t>
  </si>
  <si>
    <t>TTL / S</t>
  </si>
  <si>
    <t>SALDO</t>
  </si>
  <si>
    <t>INV.</t>
  </si>
  <si>
    <t>DIF.</t>
  </si>
  <si>
    <t>CJA-2</t>
  </si>
  <si>
    <t>13.12.12</t>
  </si>
  <si>
    <t>G/R</t>
  </si>
  <si>
    <t>002-0113868</t>
  </si>
  <si>
    <t>IMPORTADORA DE RODAMIENTOS S.A.C.</t>
  </si>
  <si>
    <t>FAJAS JASON A-47</t>
  </si>
  <si>
    <t xml:space="preserve">PARA MAQ. MEZCLADORA # 1  </t>
  </si>
  <si>
    <t>JGO</t>
  </si>
  <si>
    <t>M2-6</t>
  </si>
  <si>
    <t>12.10.12</t>
  </si>
  <si>
    <t>001-006568</t>
  </si>
  <si>
    <t>MAREK DISTRIBUIDORES S.A.C.</t>
  </si>
  <si>
    <t>PERNO DE 5/8" X 4" INOX</t>
  </si>
  <si>
    <t>PARA MANTENIMIENTO DE MOLINOS</t>
  </si>
  <si>
    <t>U</t>
  </si>
  <si>
    <t>MA1-3</t>
  </si>
  <si>
    <t>PERNO SOCKET DE 3/16" X 1/4" C/ CABEZA PLANA</t>
  </si>
  <si>
    <t>MALSA</t>
  </si>
  <si>
    <t>M2664</t>
  </si>
  <si>
    <t>MA5-1</t>
  </si>
  <si>
    <t>25.05.26</t>
  </si>
  <si>
    <t>T001-0029774</t>
  </si>
  <si>
    <t>FUMINSUMOS S.R.L.</t>
  </si>
  <si>
    <t>MASCARA FULL FACE - FS 1000</t>
  </si>
  <si>
    <t xml:space="preserve">MATERIAL DE SEGURIDAD PERSONAL </t>
  </si>
  <si>
    <t>M2665</t>
  </si>
  <si>
    <t>FILTRO PARA MASCARA FS 1000 P/FOSFINA</t>
  </si>
  <si>
    <t>M2644</t>
  </si>
  <si>
    <t>M1-1</t>
  </si>
  <si>
    <t>26.05.26</t>
  </si>
  <si>
    <t>T001-00031763</t>
  </si>
  <si>
    <t>IMPOROD S.A.C.</t>
  </si>
  <si>
    <t>RODAMIENTO FAG 22215 E1 XL K C3</t>
  </si>
  <si>
    <t>PARA MOLINO SAZONADORES04, 07 Y 08</t>
  </si>
  <si>
    <t>M2645</t>
  </si>
  <si>
    <t>MA7-1</t>
  </si>
  <si>
    <t>T001-00031797</t>
  </si>
  <si>
    <t>FAJAS B-84 GATES HI-POWER II BELT</t>
  </si>
  <si>
    <t>PARA MOLINO MAMA15</t>
  </si>
  <si>
    <t xml:space="preserve"> U </t>
  </si>
  <si>
    <t>M2646</t>
  </si>
  <si>
    <t>M1-E</t>
  </si>
  <si>
    <t>RETEN 63.50-82.55-12.70 WLK TB</t>
  </si>
  <si>
    <t>M2647</t>
  </si>
  <si>
    <t>OBTURADOR  TSNG 511 G GLH (RETEN)</t>
  </si>
  <si>
    <t>M2648</t>
  </si>
  <si>
    <t>M1-B</t>
  </si>
  <si>
    <t>RODAMIENTO FAG 6008 2RSR L038 C3</t>
  </si>
  <si>
    <t>M2569</t>
  </si>
  <si>
    <t>MA4-3</t>
  </si>
  <si>
    <t>12.03.26</t>
  </si>
  <si>
    <t>T001-00003110</t>
  </si>
  <si>
    <t>JM SEGURIDAD INDUSTRIAL S.A.C.</t>
  </si>
  <si>
    <t>GUANTE DE NITRILO DE 18"  SOLVEX T/8</t>
  </si>
  <si>
    <t>MATERIALES DE SEGURIDAD PERSONAL</t>
  </si>
  <si>
    <t>PAR</t>
  </si>
  <si>
    <t>M2570</t>
  </si>
  <si>
    <t>GUANTE DE NITRILO DE 18"  SOLVEX T/9</t>
  </si>
  <si>
    <t>JOPISA</t>
  </si>
  <si>
    <t>Máquina</t>
  </si>
  <si>
    <t>JP1-3</t>
  </si>
  <si>
    <t>07.01.13</t>
  </si>
  <si>
    <t>FACT.</t>
  </si>
  <si>
    <t>001-002370</t>
  </si>
  <si>
    <t>CAMPOS MOLINA OLGA VICTORIA</t>
  </si>
  <si>
    <t>CODOS DE 5/8" X 90º X 1,5  A.INOX</t>
  </si>
  <si>
    <t>PARA MAQUINAS PANQUITAS</t>
  </si>
  <si>
    <t>JP3-2</t>
  </si>
  <si>
    <t>0001-004255</t>
  </si>
  <si>
    <t>COMERCIAL " MELENDEZ"</t>
  </si>
  <si>
    <t xml:space="preserve">CIRCULINA DE 220 V </t>
  </si>
  <si>
    <t>PARA INSTALACION EN PLANTA JOPISA</t>
  </si>
  <si>
    <t>MEZAN</t>
  </si>
  <si>
    <t>JP1-2</t>
  </si>
  <si>
    <t>JP3-4</t>
  </si>
  <si>
    <t>JM-1</t>
  </si>
  <si>
    <t>DISELEIND SRL</t>
  </si>
  <si>
    <t>CG INGENIERIA CIVIL &amp; SERVICIOS GENERALES SAC</t>
  </si>
  <si>
    <t>CG INGENIERIA CIVIL &amp; SERVICIOS GENERALES S.A.C.</t>
  </si>
  <si>
    <t>ITTEM S.A.C.</t>
  </si>
  <si>
    <t>PARA MAJO31 BOSSAR</t>
  </si>
  <si>
    <t>PARA MAJO79, 80, 81, 82 PASTAS</t>
  </si>
  <si>
    <t>DISCO DE CORTE DE 4 1/2" X 1MM X 7/8" NORTON</t>
  </si>
  <si>
    <t xml:space="preserve">ALDERETE CHAVEZ ESTELA </t>
  </si>
  <si>
    <t>J696</t>
  </si>
  <si>
    <t>JP6-3</t>
  </si>
  <si>
    <t>16.04.26</t>
  </si>
  <si>
    <t>17290-17291</t>
  </si>
  <si>
    <t>T001-295</t>
  </si>
  <si>
    <t>POLO ALGODÓN COLOR NARANJA T/ M</t>
  </si>
  <si>
    <t>UNIFORMES PARA PERSONAL DE PRODUCCIÓN JOPISA</t>
  </si>
  <si>
    <t>J697</t>
  </si>
  <si>
    <t>POLO ALGODÓN COLOR NARANJA T/ L</t>
  </si>
  <si>
    <t>J698</t>
  </si>
  <si>
    <t>POLO ALGODÓN COLOR NARANJA T/ XL</t>
  </si>
  <si>
    <t>J699</t>
  </si>
  <si>
    <t xml:space="preserve">PANTALON TELA DRIL COLOR NARANJA T/ M CON CINTA REFLECTIVA </t>
  </si>
  <si>
    <t>06.05.26</t>
  </si>
  <si>
    <t>EG07-00001024</t>
  </si>
  <si>
    <t>HERRAMIENTAS PARA PERSONAL DE MANTENIMIENTO</t>
  </si>
  <si>
    <t>J756</t>
  </si>
  <si>
    <t>MACHO DE 5/16" X 3 UND. URANGA</t>
  </si>
  <si>
    <t>J757</t>
  </si>
  <si>
    <t>PISO FE.</t>
  </si>
  <si>
    <t>EG07-00001027</t>
  </si>
  <si>
    <t>TUBO CUADRADO INOX. 2" X 2" X 1.5MM X 6 MT</t>
  </si>
  <si>
    <t>PARA FABRICACIÓN DE ESCALERA  MAJO26</t>
  </si>
  <si>
    <t>J758</t>
  </si>
  <si>
    <t>CODO INOX. PARA SOLDAR DE 1 1/2"X 1.5MM</t>
  </si>
  <si>
    <t>J760</t>
  </si>
  <si>
    <t>J762</t>
  </si>
  <si>
    <t>EG07-00001028</t>
  </si>
  <si>
    <t>TUNGSTENO DE 1/16" PUNTA ROJA</t>
  </si>
  <si>
    <t>J763</t>
  </si>
  <si>
    <t>TUNGSTENO DE 2.5MM" PUNTA ROJA</t>
  </si>
  <si>
    <t>J764</t>
  </si>
  <si>
    <t xml:space="preserve">GEL DECAPANTE </t>
  </si>
  <si>
    <t>J766</t>
  </si>
  <si>
    <t>07.05.26</t>
  </si>
  <si>
    <t>EG07-00000088</t>
  </si>
  <si>
    <t>MENENDEZ ALIAGA FELIZ JUSTO</t>
  </si>
  <si>
    <t>SENSOR DE CONTRASTE SERIE:KTM-WP11182P</t>
  </si>
  <si>
    <t>ALCANCE: 12,5MM-12 - 24V MARCA SICK</t>
  </si>
  <si>
    <t>J767</t>
  </si>
  <si>
    <t>EG07-00000266</t>
  </si>
  <si>
    <t>JEBE TUBULAR 27X16X40 PARA LA CODIFICACIÓN</t>
  </si>
  <si>
    <t>ARRASTRE MOD: HOT - STAMP</t>
  </si>
  <si>
    <t>INDELPAS</t>
  </si>
  <si>
    <t>DEVOL.</t>
  </si>
  <si>
    <t>DEVOL.
 ACT.</t>
  </si>
  <si>
    <t>PERIODO AL  29.07.16</t>
  </si>
  <si>
    <t>N82</t>
  </si>
  <si>
    <t>IN1-4</t>
  </si>
  <si>
    <t>19.07.16</t>
  </si>
  <si>
    <t>0001-002409</t>
  </si>
  <si>
    <t>CONEXIÓN TEE ROSCADO 1 1/4" GAVANIZADO</t>
  </si>
  <si>
    <t>INSTALACION DE AGUA PARA COCINA PANQUITA</t>
  </si>
  <si>
    <t>N85</t>
  </si>
  <si>
    <t>MEZ-TUB</t>
  </si>
  <si>
    <t>0001-002410</t>
  </si>
  <si>
    <t>TUBO P/ AGUA (PESADO) Ø 1 1/4" ROSCADO PVC</t>
  </si>
  <si>
    <t>N5804</t>
  </si>
  <si>
    <t>MZ 1-T</t>
  </si>
  <si>
    <t>17.02.25</t>
  </si>
  <si>
    <t>EG07-000000075</t>
  </si>
  <si>
    <t>ALL IMPORT COMPANY S.A..C.</t>
  </si>
  <si>
    <t>TOCAS DESCARTABLES BLANCAS X 100 UND.</t>
  </si>
  <si>
    <t>CJA.</t>
  </si>
  <si>
    <t>N5834</t>
  </si>
  <si>
    <t>MZ 2-T</t>
  </si>
  <si>
    <t>05.03.25</t>
  </si>
  <si>
    <t>T001-00002075</t>
  </si>
  <si>
    <t>MASCARA DE SOLDAR ADAPTABLE AL CASCO CLUTE</t>
  </si>
  <si>
    <t>N5873</t>
  </si>
  <si>
    <t>27.03.25</t>
  </si>
  <si>
    <t>EG07-0000090</t>
  </si>
  <si>
    <t>CORPORACIÓN PABET S.A.C.</t>
  </si>
  <si>
    <t>TOCAS DESCARTABLES BLANCAS X 50 UND.</t>
  </si>
  <si>
    <t>N2602</t>
  </si>
  <si>
    <t>IN2-2</t>
  </si>
  <si>
    <t>08.01.20</t>
  </si>
  <si>
    <t>EG01-80</t>
  </si>
  <si>
    <t>DISCO VERTEX  DE 4 1/2"</t>
  </si>
  <si>
    <t>MANTENIMIENTO DE MOLINOS Y MAQUINAS DESPEPITADORAS</t>
  </si>
  <si>
    <t>N2603</t>
  </si>
  <si>
    <t>IN2-1</t>
  </si>
  <si>
    <t>ESCOBILLA DE BRONCE</t>
  </si>
  <si>
    <t>N4120</t>
  </si>
  <si>
    <t>07.03.22</t>
  </si>
  <si>
    <t>EG01-787</t>
  </si>
  <si>
    <t>TUBO REDONDO INOX. C304L  A270 OD 2" X 1.5MM X 6 MT. SANITARIO</t>
  </si>
  <si>
    <t>PARA FABRICACIÓN DE 2 TINAS AREA AJOS</t>
  </si>
  <si>
    <t>N4139</t>
  </si>
  <si>
    <t>EG01-791</t>
  </si>
  <si>
    <t>TUBO INOX. C304 DE 9.52MM INTERIOR X 6 MT. 3/8"</t>
  </si>
  <si>
    <t>PARA FABRICACIÓN</t>
  </si>
  <si>
    <t>N4128</t>
  </si>
  <si>
    <t>EG01-790</t>
  </si>
  <si>
    <r>
      <t xml:space="preserve">PLATINA INOX. C304 19.05MM X 3.17MM X 6 MT </t>
    </r>
    <r>
      <rPr>
        <b/>
        <sz val="10"/>
        <rFont val="Arial"/>
        <family val="2"/>
      </rPr>
      <t>3/4" X 1/8"</t>
    </r>
  </si>
  <si>
    <t>N4133</t>
  </si>
  <si>
    <r>
      <t xml:space="preserve">PLATINA INOX. C304 19.05MMX 3.17MM X 6 MT  </t>
    </r>
    <r>
      <rPr>
        <b/>
        <sz val="10"/>
        <rFont val="Arial"/>
        <family val="2"/>
      </rPr>
      <t>3/4" X1/8"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</si>
</sst>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#,##0.000"/>
    <numFmt numFmtId="166" formatCode="_(* #,##0_);_(* \(#,##0\);_(* &quot;-&quot;??_);_(@_)"/>
    <numFmt numFmtId="167" formatCode="_ * #,##0.00_ ;_ * \-#,##0.00_ ;_ * &quot;-&quot;??_ ;_ @_ "/>
    <numFmt numFmtId="168" formatCode="_-* #,##0\ _€_-;\-* #,##0\ _€_-;_-* &quot;-&quot;??\ _€_-;_-@_-"/>
    <numFmt numFmtId="169" formatCode="_-* #,##0.00\ _€_-;\-* #,##0.00\ _€_-;_-* &quot;-&quot;??\ _€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ourier New"/>
      <family val="3"/>
    </font>
    <font>
      <b/>
      <sz val="12"/>
      <name val="Calibri"/>
      <family val="2"/>
    </font>
    <font>
      <b/>
      <sz val="10"/>
      <name val="Times New Roman"/>
      <family val="1"/>
    </font>
    <font>
      <sz val="8"/>
      <name val="Arial"/>
      <family val="2"/>
    </font>
    <font>
      <sz val="10"/>
      <name val="Courier New"/>
      <family val="3"/>
    </font>
    <font>
      <sz val="9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b/>
      <sz val="12"/>
      <name val="Courier New"/>
      <family val="3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right"/>
    </xf>
    <xf numFmtId="0" fontId="4" fillId="2" borderId="3" xfId="0" applyFont="1" applyFill="1" applyBorder="1"/>
    <xf numFmtId="0" fontId="6" fillId="2" borderId="1" xfId="1" applyNumberFormat="1" applyFont="1" applyFill="1" applyBorder="1" applyAlignment="1"/>
    <xf numFmtId="0" fontId="6" fillId="2" borderId="3" xfId="1" applyNumberFormat="1" applyFont="1" applyFill="1" applyBorder="1" applyAlignment="1"/>
    <xf numFmtId="0" fontId="6" fillId="2" borderId="2" xfId="1" applyNumberFormat="1" applyFont="1" applyFill="1" applyBorder="1" applyAlignment="1"/>
    <xf numFmtId="164" fontId="5" fillId="2" borderId="1" xfId="1" applyNumberFormat="1" applyFont="1" applyFill="1" applyBorder="1" applyAlignment="1">
      <alignment horizontal="center"/>
    </xf>
    <xf numFmtId="164" fontId="5" fillId="2" borderId="3" xfId="1" applyNumberFormat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vertical="center"/>
    </xf>
    <xf numFmtId="166" fontId="5" fillId="2" borderId="4" xfId="1" applyNumberFormat="1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164" fontId="6" fillId="2" borderId="4" xfId="0" applyNumberFormat="1" applyFont="1" applyFill="1" applyBorder="1" applyAlignment="1">
      <alignment vertical="center"/>
    </xf>
    <xf numFmtId="167" fontId="5" fillId="3" borderId="4" xfId="1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8" fontId="6" fillId="2" borderId="4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169" fontId="10" fillId="6" borderId="6" xfId="1" applyNumberFormat="1" applyFont="1" applyFill="1" applyBorder="1" applyAlignment="1">
      <alignment horizontal="center"/>
    </xf>
    <xf numFmtId="164" fontId="10" fillId="2" borderId="7" xfId="1" applyNumberFormat="1" applyFont="1" applyFill="1" applyBorder="1" applyAlignment="1">
      <alignment horizontal="center"/>
    </xf>
    <xf numFmtId="166" fontId="10" fillId="2" borderId="5" xfId="1" applyNumberFormat="1" applyFont="1" applyFill="1" applyBorder="1" applyAlignment="1">
      <alignment horizontal="center"/>
    </xf>
    <xf numFmtId="169" fontId="6" fillId="2" borderId="5" xfId="0" applyNumberFormat="1" applyFont="1" applyFill="1" applyBorder="1"/>
    <xf numFmtId="167" fontId="10" fillId="3" borderId="5" xfId="1" applyNumberFormat="1" applyFont="1" applyFill="1" applyBorder="1" applyAlignment="1">
      <alignment horizontal="center"/>
    </xf>
    <xf numFmtId="0" fontId="4" fillId="4" borderId="5" xfId="0" applyFont="1" applyFill="1" applyBorder="1"/>
    <xf numFmtId="166" fontId="10" fillId="3" borderId="5" xfId="1" applyNumberFormat="1" applyFont="1" applyFill="1" applyBorder="1" applyAlignment="1">
      <alignment horizontal="center"/>
    </xf>
    <xf numFmtId="43" fontId="10" fillId="2" borderId="5" xfId="0" applyNumberFormat="1" applyFont="1" applyFill="1" applyBorder="1" applyAlignment="1">
      <alignment horizontal="center"/>
    </xf>
    <xf numFmtId="2" fontId="10" fillId="2" borderId="5" xfId="1" applyNumberFormat="1" applyFont="1" applyFill="1" applyBorder="1" applyAlignment="1">
      <alignment horizontal="center"/>
    </xf>
    <xf numFmtId="164" fontId="10" fillId="2" borderId="5" xfId="1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49" fontId="9" fillId="7" borderId="5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left"/>
    </xf>
    <xf numFmtId="169" fontId="10" fillId="4" borderId="7" xfId="1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49" fontId="11" fillId="7" borderId="7" xfId="0" applyNumberFormat="1" applyFont="1" applyFill="1" applyBorder="1" applyAlignment="1">
      <alignment horizontal="center" vertical="center"/>
    </xf>
    <xf numFmtId="169" fontId="10" fillId="6" borderId="7" xfId="1" applyNumberFormat="1" applyFont="1" applyFill="1" applyBorder="1" applyAlignment="1">
      <alignment horizontal="center"/>
    </xf>
    <xf numFmtId="0" fontId="4" fillId="8" borderId="0" xfId="0" applyFont="1" applyFill="1"/>
    <xf numFmtId="49" fontId="9" fillId="8" borderId="5" xfId="0" applyNumberFormat="1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7" xfId="0" applyFont="1" applyBorder="1"/>
    <xf numFmtId="0" fontId="12" fillId="8" borderId="7" xfId="0" applyFont="1" applyFill="1" applyBorder="1"/>
    <xf numFmtId="43" fontId="12" fillId="8" borderId="7" xfId="1" applyFont="1" applyFill="1" applyBorder="1" applyAlignment="1">
      <alignment horizontal="center"/>
    </xf>
    <xf numFmtId="169" fontId="10" fillId="10" borderId="9" xfId="1" applyNumberFormat="1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/>
    <xf numFmtId="0" fontId="12" fillId="8" borderId="5" xfId="0" applyFont="1" applyFill="1" applyBorder="1"/>
    <xf numFmtId="43" fontId="12" fillId="8" borderId="5" xfId="1" applyFont="1" applyFill="1" applyBorder="1" applyAlignment="1">
      <alignment horizontal="center"/>
    </xf>
    <xf numFmtId="169" fontId="10" fillId="10" borderId="5" xfId="1" applyNumberFormat="1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left"/>
    </xf>
    <xf numFmtId="49" fontId="13" fillId="2" borderId="4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 wrapText="1"/>
    </xf>
    <xf numFmtId="165" fontId="14" fillId="2" borderId="4" xfId="0" applyNumberFormat="1" applyFont="1" applyFill="1" applyBorder="1" applyAlignment="1">
      <alignment horizontal="left" vertical="center"/>
    </xf>
    <xf numFmtId="166" fontId="13" fillId="2" borderId="4" xfId="1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/>
    </xf>
    <xf numFmtId="2" fontId="13" fillId="4" borderId="4" xfId="0" applyNumberFormat="1" applyFont="1" applyFill="1" applyBorder="1" applyAlignment="1">
      <alignment horizontal="center" vertical="center" wrapText="1"/>
    </xf>
    <xf numFmtId="1" fontId="13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/>
    </xf>
    <xf numFmtId="164" fontId="15" fillId="2" borderId="4" xfId="1" applyNumberFormat="1" applyFont="1" applyFill="1" applyBorder="1" applyAlignment="1">
      <alignment horizontal="center" vertical="center" wrapText="1"/>
    </xf>
    <xf numFmtId="166" fontId="15" fillId="2" borderId="4" xfId="1" applyNumberFormat="1" applyFont="1" applyFill="1" applyBorder="1" applyAlignment="1">
      <alignment horizontal="center" vertical="center"/>
    </xf>
    <xf numFmtId="43" fontId="15" fillId="2" borderId="2" xfId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horizontal="center"/>
    </xf>
    <xf numFmtId="0" fontId="17" fillId="2" borderId="5" xfId="0" applyFont="1" applyFill="1" applyBorder="1"/>
    <xf numFmtId="43" fontId="6" fillId="12" borderId="5" xfId="1" applyFont="1" applyFill="1" applyBorder="1" applyAlignment="1">
      <alignment horizontal="center"/>
    </xf>
    <xf numFmtId="0" fontId="0" fillId="0" borderId="5" xfId="0" applyBorder="1"/>
    <xf numFmtId="2" fontId="10" fillId="4" borderId="5" xfId="1" applyNumberFormat="1" applyFont="1" applyFill="1" applyBorder="1" applyAlignment="1">
      <alignment horizontal="center"/>
    </xf>
    <xf numFmtId="1" fontId="10" fillId="3" borderId="5" xfId="1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/>
    </xf>
    <xf numFmtId="43" fontId="10" fillId="2" borderId="11" xfId="1" applyFont="1" applyFill="1" applyBorder="1" applyAlignment="1">
      <alignment horizontal="center"/>
    </xf>
    <xf numFmtId="49" fontId="17" fillId="13" borderId="7" xfId="0" applyNumberFormat="1" applyFont="1" applyFill="1" applyBorder="1" applyAlignment="1">
      <alignment horizontal="center"/>
    </xf>
    <xf numFmtId="0" fontId="17" fillId="2" borderId="7" xfId="0" applyFont="1" applyFill="1" applyBorder="1"/>
    <xf numFmtId="43" fontId="6" fillId="6" borderId="7" xfId="1" applyFont="1" applyFill="1" applyBorder="1" applyAlignment="1">
      <alignment horizontal="center"/>
    </xf>
    <xf numFmtId="0" fontId="0" fillId="0" borderId="7" xfId="0" applyBorder="1"/>
    <xf numFmtId="166" fontId="10" fillId="2" borderId="7" xfId="1" applyNumberFormat="1" applyFont="1" applyFill="1" applyBorder="1" applyAlignment="1">
      <alignment horizontal="center"/>
    </xf>
    <xf numFmtId="169" fontId="6" fillId="2" borderId="7" xfId="0" applyNumberFormat="1" applyFont="1" applyFill="1" applyBorder="1"/>
    <xf numFmtId="2" fontId="10" fillId="4" borderId="7" xfId="1" applyNumberFormat="1" applyFont="1" applyFill="1" applyBorder="1" applyAlignment="1">
      <alignment horizontal="center"/>
    </xf>
    <xf numFmtId="1" fontId="10" fillId="3" borderId="7" xfId="1" applyNumberFormat="1" applyFont="1" applyFill="1" applyBorder="1" applyAlignment="1">
      <alignment horizontal="center"/>
    </xf>
    <xf numFmtId="167" fontId="10" fillId="2" borderId="7" xfId="0" applyNumberFormat="1" applyFont="1" applyFill="1" applyBorder="1" applyAlignment="1">
      <alignment horizontal="center"/>
    </xf>
    <xf numFmtId="43" fontId="10" fillId="2" borderId="12" xfId="1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/>
    </xf>
    <xf numFmtId="43" fontId="4" fillId="2" borderId="7" xfId="1" applyFont="1" applyFill="1" applyBorder="1" applyAlignment="1">
      <alignment horizontal="center"/>
    </xf>
    <xf numFmtId="164" fontId="10" fillId="10" borderId="9" xfId="1" applyNumberFormat="1" applyFont="1" applyFill="1" applyBorder="1" applyAlignment="1">
      <alignment horizontal="center"/>
    </xf>
    <xf numFmtId="164" fontId="10" fillId="2" borderId="9" xfId="1" applyNumberFormat="1" applyFont="1" applyFill="1" applyBorder="1" applyAlignment="1">
      <alignment horizontal="center"/>
    </xf>
    <xf numFmtId="43" fontId="0" fillId="0" borderId="13" xfId="1" applyFont="1" applyBorder="1"/>
    <xf numFmtId="49" fontId="5" fillId="2" borderId="7" xfId="0" applyNumberFormat="1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/>
    </xf>
    <xf numFmtId="43" fontId="4" fillId="6" borderId="9" xfId="1" applyFont="1" applyFill="1" applyBorder="1" applyAlignment="1">
      <alignment horizontal="center"/>
    </xf>
    <xf numFmtId="43" fontId="4" fillId="10" borderId="9" xfId="1" applyFont="1" applyFill="1" applyBorder="1" applyAlignment="1">
      <alignment horizontal="center"/>
    </xf>
    <xf numFmtId="164" fontId="10" fillId="6" borderId="9" xfId="1" applyNumberFormat="1" applyFont="1" applyFill="1" applyBorder="1" applyAlignment="1">
      <alignment horizontal="center"/>
    </xf>
    <xf numFmtId="49" fontId="4" fillId="10" borderId="7" xfId="0" applyNumberFormat="1" applyFont="1" applyFill="1" applyBorder="1" applyAlignment="1">
      <alignment horizontal="center"/>
    </xf>
    <xf numFmtId="49" fontId="5" fillId="2" borderId="0" xfId="0" applyNumberFormat="1" applyFont="1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43" fontId="19" fillId="0" borderId="0" xfId="1" applyFont="1"/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" xfId="0" applyFont="1" applyBorder="1"/>
    <xf numFmtId="0" fontId="20" fillId="0" borderId="3" xfId="0" applyFont="1" applyBorder="1"/>
    <xf numFmtId="0" fontId="20" fillId="0" borderId="2" xfId="0" applyFont="1" applyBorder="1"/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43" fontId="20" fillId="0" borderId="4" xfId="1" applyFont="1" applyBorder="1" applyAlignment="1">
      <alignment horizontal="center" vertical="center"/>
    </xf>
    <xf numFmtId="0" fontId="20" fillId="14" borderId="4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21" fillId="0" borderId="5" xfId="0" applyFont="1" applyBorder="1"/>
    <xf numFmtId="0" fontId="22" fillId="0" borderId="5" xfId="0" applyFont="1" applyBorder="1" applyAlignment="1">
      <alignment horizontal="center"/>
    </xf>
    <xf numFmtId="43" fontId="12" fillId="0" borderId="5" xfId="1" applyFont="1" applyBorder="1" applyAlignment="1">
      <alignment horizontal="center"/>
    </xf>
    <xf numFmtId="43" fontId="0" fillId="0" borderId="5" xfId="1" applyFont="1" applyBorder="1"/>
    <xf numFmtId="0" fontId="0" fillId="14" borderId="5" xfId="0" applyFill="1" applyBorder="1"/>
    <xf numFmtId="0" fontId="0" fillId="16" borderId="5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43" fontId="0" fillId="0" borderId="7" xfId="1" applyFont="1" applyBorder="1"/>
    <xf numFmtId="0" fontId="22" fillId="0" borderId="7" xfId="0" applyFont="1" applyBorder="1" applyAlignment="1">
      <alignment horizontal="center"/>
    </xf>
    <xf numFmtId="43" fontId="12" fillId="0" borderId="7" xfId="1" applyFont="1" applyBorder="1" applyAlignment="1">
      <alignment horizontal="center"/>
    </xf>
    <xf numFmtId="0" fontId="0" fillId="14" borderId="7" xfId="0" applyFill="1" applyBorder="1"/>
    <xf numFmtId="0" fontId="0" fillId="16" borderId="7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22" fillId="17" borderId="7" xfId="0" applyFont="1" applyFill="1" applyBorder="1" applyAlignment="1">
      <alignment horizontal="center"/>
    </xf>
    <xf numFmtId="43" fontId="0" fillId="10" borderId="7" xfId="1" applyFont="1" applyFill="1" applyBorder="1"/>
    <xf numFmtId="0" fontId="22" fillId="15" borderId="7" xfId="0" applyFont="1" applyFill="1" applyBorder="1" applyAlignment="1">
      <alignment horizontal="center"/>
    </xf>
    <xf numFmtId="43" fontId="0" fillId="10" borderId="5" xfId="1" applyFont="1" applyFill="1" applyBorder="1"/>
    <xf numFmtId="0" fontId="2" fillId="0" borderId="0" xfId="0" applyFont="1"/>
    <xf numFmtId="0" fontId="4" fillId="18" borderId="5" xfId="0" applyFont="1" applyFill="1" applyBorder="1" applyAlignment="1">
      <alignment horizontal="center" vertical="center"/>
    </xf>
    <xf numFmtId="0" fontId="4" fillId="18" borderId="7" xfId="0" applyFont="1" applyFill="1" applyBorder="1" applyAlignment="1">
      <alignment horizontal="center"/>
    </xf>
    <xf numFmtId="0" fontId="4" fillId="18" borderId="7" xfId="0" applyFont="1" applyFill="1" applyBorder="1" applyAlignment="1">
      <alignment horizontal="center" vertical="center"/>
    </xf>
    <xf numFmtId="49" fontId="4" fillId="18" borderId="5" xfId="0" applyNumberFormat="1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/>
    </xf>
    <xf numFmtId="0" fontId="12" fillId="13" borderId="7" xfId="0" applyFont="1" applyFill="1" applyBorder="1" applyAlignment="1">
      <alignment horizontal="center"/>
    </xf>
    <xf numFmtId="0" fontId="12" fillId="15" borderId="7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BF42-DBE7-40A6-AF01-ECD9B4A0F67E}">
  <dimension ref="B3:BI54"/>
  <sheetViews>
    <sheetView tabSelected="1" topLeftCell="A37" workbookViewId="0">
      <selection activeCell="A53" sqref="A53"/>
    </sheetView>
  </sheetViews>
  <sheetFormatPr baseColWidth="10" defaultRowHeight="15" x14ac:dyDescent="0.25"/>
  <cols>
    <col min="11" max="11" width="45.28515625" customWidth="1"/>
    <col min="12" max="12" width="31.5703125" customWidth="1"/>
  </cols>
  <sheetData>
    <row r="3" spans="2:54" ht="15.75" thickBot="1" x14ac:dyDescent="0.3">
      <c r="C3" s="148" t="s">
        <v>44</v>
      </c>
    </row>
    <row r="4" spans="2:54" ht="18.75" thickBot="1" x14ac:dyDescent="0.3">
      <c r="C4" s="1" t="s">
        <v>0</v>
      </c>
      <c r="D4" s="2"/>
      <c r="E4" s="2"/>
      <c r="F4" s="3"/>
      <c r="G4" s="2"/>
      <c r="H4" s="2"/>
      <c r="I4" s="2"/>
      <c r="J4" s="2"/>
      <c r="K4" s="2"/>
      <c r="L4" s="2"/>
      <c r="M4" s="2"/>
      <c r="N4" s="4"/>
      <c r="O4" s="5" t="s">
        <v>1</v>
      </c>
      <c r="P4" s="6"/>
      <c r="Q4" s="7" t="s">
        <v>2</v>
      </c>
      <c r="R4" s="8"/>
      <c r="S4" s="9" t="s">
        <v>3</v>
      </c>
      <c r="T4" s="10"/>
      <c r="U4" s="11" t="s">
        <v>4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3"/>
      <c r="AY4" s="2"/>
      <c r="AZ4" s="14" t="s">
        <v>5</v>
      </c>
      <c r="BA4" s="15"/>
      <c r="BB4" s="16"/>
    </row>
    <row r="5" spans="2:54" ht="26.25" thickBot="1" x14ac:dyDescent="0.3">
      <c r="C5" s="17" t="s">
        <v>6</v>
      </c>
      <c r="D5" s="18" t="s">
        <v>7</v>
      </c>
      <c r="E5" s="19" t="s">
        <v>8</v>
      </c>
      <c r="F5" s="19" t="s">
        <v>9</v>
      </c>
      <c r="G5" s="20" t="s">
        <v>10</v>
      </c>
      <c r="H5" s="19" t="s">
        <v>11</v>
      </c>
      <c r="I5" s="19" t="s">
        <v>12</v>
      </c>
      <c r="J5" s="19" t="s">
        <v>13</v>
      </c>
      <c r="K5" s="21" t="s">
        <v>14</v>
      </c>
      <c r="L5" s="19" t="s">
        <v>15</v>
      </c>
      <c r="M5" s="20" t="s">
        <v>16</v>
      </c>
      <c r="N5" s="19" t="s">
        <v>17</v>
      </c>
      <c r="O5" s="22" t="s">
        <v>18</v>
      </c>
      <c r="P5" s="23" t="s">
        <v>19</v>
      </c>
      <c r="Q5" s="19" t="s">
        <v>20</v>
      </c>
      <c r="R5" s="23" t="s">
        <v>19</v>
      </c>
      <c r="S5" s="24" t="s">
        <v>21</v>
      </c>
      <c r="T5" s="25" t="s">
        <v>22</v>
      </c>
      <c r="U5" s="26" t="s">
        <v>20</v>
      </c>
      <c r="V5" s="27" t="s">
        <v>19</v>
      </c>
      <c r="W5" s="28" t="s">
        <v>20</v>
      </c>
      <c r="X5" s="27" t="s">
        <v>19</v>
      </c>
      <c r="Y5" s="28" t="s">
        <v>20</v>
      </c>
      <c r="Z5" s="27" t="s">
        <v>19</v>
      </c>
      <c r="AA5" s="28" t="s">
        <v>20</v>
      </c>
      <c r="AB5" s="27" t="s">
        <v>19</v>
      </c>
      <c r="AC5" s="28" t="s">
        <v>20</v>
      </c>
      <c r="AD5" s="27" t="s">
        <v>19</v>
      </c>
      <c r="AE5" s="28" t="s">
        <v>20</v>
      </c>
      <c r="AF5" s="27" t="s">
        <v>19</v>
      </c>
      <c r="AG5" s="28" t="s">
        <v>20</v>
      </c>
      <c r="AH5" s="27" t="s">
        <v>19</v>
      </c>
      <c r="AI5" s="28" t="s">
        <v>20</v>
      </c>
      <c r="AJ5" s="27" t="s">
        <v>19</v>
      </c>
      <c r="AK5" s="28" t="s">
        <v>20</v>
      </c>
      <c r="AL5" s="27" t="s">
        <v>19</v>
      </c>
      <c r="AM5" s="28" t="s">
        <v>20</v>
      </c>
      <c r="AN5" s="27" t="s">
        <v>19</v>
      </c>
      <c r="AO5" s="28" t="s">
        <v>20</v>
      </c>
      <c r="AP5" s="27" t="s">
        <v>19</v>
      </c>
      <c r="AQ5" s="28" t="s">
        <v>20</v>
      </c>
      <c r="AR5" s="27" t="s">
        <v>19</v>
      </c>
      <c r="AS5" s="28" t="s">
        <v>20</v>
      </c>
      <c r="AT5" s="27" t="s">
        <v>19</v>
      </c>
      <c r="AU5" s="28" t="s">
        <v>20</v>
      </c>
      <c r="AV5" s="27" t="s">
        <v>19</v>
      </c>
      <c r="AW5" s="28" t="s">
        <v>20</v>
      </c>
      <c r="AX5" s="27" t="s">
        <v>19</v>
      </c>
      <c r="AY5" s="29" t="s">
        <v>23</v>
      </c>
      <c r="AZ5" s="30" t="s">
        <v>24</v>
      </c>
      <c r="BA5" s="31" t="s">
        <v>25</v>
      </c>
      <c r="BB5" s="30" t="s">
        <v>26</v>
      </c>
    </row>
    <row r="6" spans="2:54" x14ac:dyDescent="0.25">
      <c r="C6" s="149">
        <v>441</v>
      </c>
      <c r="D6" s="33" t="s">
        <v>27</v>
      </c>
      <c r="E6" s="34" t="s">
        <v>28</v>
      </c>
      <c r="F6" s="34">
        <v>12232</v>
      </c>
      <c r="G6" s="34">
        <v>13402</v>
      </c>
      <c r="H6" s="34" t="s">
        <v>29</v>
      </c>
      <c r="I6" s="34" t="s">
        <v>30</v>
      </c>
      <c r="J6" s="35" t="s">
        <v>31</v>
      </c>
      <c r="K6" s="35" t="s">
        <v>32</v>
      </c>
      <c r="L6" s="35" t="s">
        <v>33</v>
      </c>
      <c r="M6" s="34" t="s">
        <v>34</v>
      </c>
      <c r="N6" s="36">
        <v>1</v>
      </c>
      <c r="O6" s="34"/>
      <c r="P6" s="34"/>
      <c r="Q6" s="37">
        <f>+N6+O6</f>
        <v>1</v>
      </c>
      <c r="R6" s="38"/>
      <c r="S6" s="39">
        <f>+O6+Q6</f>
        <v>1</v>
      </c>
      <c r="T6" s="35"/>
      <c r="U6" s="40"/>
      <c r="V6" s="41"/>
      <c r="W6" s="42"/>
      <c r="X6" s="41"/>
      <c r="Y6" s="42"/>
      <c r="Z6" s="41"/>
      <c r="AA6" s="42"/>
      <c r="AB6" s="41"/>
      <c r="AC6" s="42"/>
      <c r="AD6" s="41"/>
      <c r="AE6" s="42"/>
      <c r="AF6" s="41"/>
      <c r="AG6" s="42"/>
      <c r="AH6" s="41"/>
      <c r="AI6" s="42"/>
      <c r="AJ6" s="41"/>
      <c r="AK6" s="42"/>
      <c r="AL6" s="41"/>
      <c r="AM6" s="42"/>
      <c r="AN6" s="41"/>
      <c r="AO6" s="42"/>
      <c r="AP6" s="41"/>
      <c r="AQ6" s="42"/>
      <c r="AR6" s="41"/>
      <c r="AS6" s="42"/>
      <c r="AT6" s="41"/>
      <c r="AU6" s="42"/>
      <c r="AV6" s="41"/>
      <c r="AW6" s="42"/>
      <c r="AX6" s="41"/>
      <c r="AY6" s="43">
        <f>+AS6+AQ6+AO6+AM6+AK6+AI6+AG6+AE6+AC6+AA6+Y6+W6+U6+AU6+AW6</f>
        <v>0</v>
      </c>
      <c r="AZ6" s="44">
        <f t="shared" ref="AZ6:AZ17" si="0">+Q6-AY6</f>
        <v>1</v>
      </c>
      <c r="BA6" s="36">
        <v>1</v>
      </c>
      <c r="BB6" s="45">
        <f>+BA6-AZ6</f>
        <v>0</v>
      </c>
    </row>
    <row r="7" spans="2:54" x14ac:dyDescent="0.25">
      <c r="C7" s="150">
        <v>381</v>
      </c>
      <c r="D7" s="47" t="s">
        <v>35</v>
      </c>
      <c r="E7" s="46" t="s">
        <v>36</v>
      </c>
      <c r="F7" s="46">
        <v>12043</v>
      </c>
      <c r="G7" s="46">
        <v>13055</v>
      </c>
      <c r="H7" s="46" t="s">
        <v>29</v>
      </c>
      <c r="I7" s="46" t="s">
        <v>37</v>
      </c>
      <c r="J7" s="48" t="s">
        <v>38</v>
      </c>
      <c r="K7" s="48" t="s">
        <v>39</v>
      </c>
      <c r="L7" s="48" t="s">
        <v>40</v>
      </c>
      <c r="M7" s="46" t="s">
        <v>41</v>
      </c>
      <c r="N7" s="49">
        <v>4</v>
      </c>
      <c r="O7" s="46"/>
      <c r="P7" s="46"/>
      <c r="Q7" s="37">
        <f t="shared" ref="Q7:Q17" si="1">+N7+O7</f>
        <v>4</v>
      </c>
      <c r="R7" s="38"/>
      <c r="S7" s="39">
        <f>+O7+Q7</f>
        <v>4</v>
      </c>
      <c r="T7" s="48"/>
      <c r="U7" s="40"/>
      <c r="V7" s="41"/>
      <c r="W7" s="42"/>
      <c r="X7" s="41"/>
      <c r="Y7" s="42"/>
      <c r="Z7" s="41"/>
      <c r="AA7" s="42"/>
      <c r="AB7" s="41"/>
      <c r="AC7" s="42"/>
      <c r="AD7" s="41"/>
      <c r="AE7" s="42"/>
      <c r="AF7" s="41"/>
      <c r="AG7" s="42"/>
      <c r="AH7" s="41"/>
      <c r="AI7" s="42"/>
      <c r="AJ7" s="41"/>
      <c r="AK7" s="42"/>
      <c r="AL7" s="41"/>
      <c r="AM7" s="42"/>
      <c r="AN7" s="41"/>
      <c r="AO7" s="42"/>
      <c r="AP7" s="41"/>
      <c r="AQ7" s="42"/>
      <c r="AR7" s="41"/>
      <c r="AS7" s="42"/>
      <c r="AT7" s="41"/>
      <c r="AU7" s="42"/>
      <c r="AV7" s="41"/>
      <c r="AW7" s="42"/>
      <c r="AX7" s="41"/>
      <c r="AY7" s="43">
        <f>+AS7+AQ7+AO7+AM7+AK7+AI7+AG7+AE7+AC7+AA7+Y7+W7+U7+AU7+AW7</f>
        <v>0</v>
      </c>
      <c r="AZ7" s="44">
        <f t="shared" si="0"/>
        <v>4</v>
      </c>
      <c r="BA7" s="49">
        <v>4</v>
      </c>
      <c r="BB7" s="37">
        <f t="shared" ref="BB7:BB17" si="2">+BA7-AZ7</f>
        <v>0</v>
      </c>
    </row>
    <row r="8" spans="2:54" x14ac:dyDescent="0.25">
      <c r="C8" s="151">
        <v>386</v>
      </c>
      <c r="D8" s="51" t="s">
        <v>42</v>
      </c>
      <c r="E8" s="46" t="s">
        <v>36</v>
      </c>
      <c r="F8" s="46">
        <v>12044</v>
      </c>
      <c r="G8" s="46">
        <v>13055</v>
      </c>
      <c r="H8" s="46" t="s">
        <v>29</v>
      </c>
      <c r="I8" s="46" t="s">
        <v>37</v>
      </c>
      <c r="J8" s="48" t="s">
        <v>38</v>
      </c>
      <c r="K8" s="48" t="s">
        <v>43</v>
      </c>
      <c r="L8" s="48" t="s">
        <v>40</v>
      </c>
      <c r="M8" s="46" t="s">
        <v>41</v>
      </c>
      <c r="N8" s="52">
        <v>50</v>
      </c>
      <c r="O8" s="46"/>
      <c r="P8" s="46"/>
      <c r="Q8" s="37">
        <f t="shared" si="1"/>
        <v>50</v>
      </c>
      <c r="R8" s="38"/>
      <c r="S8" s="39">
        <f t="shared" ref="S8:S17" si="3">+O8+Q8</f>
        <v>50</v>
      </c>
      <c r="T8" s="48"/>
      <c r="U8" s="40"/>
      <c r="V8" s="41"/>
      <c r="W8" s="42"/>
      <c r="X8" s="41"/>
      <c r="Y8" s="42"/>
      <c r="Z8" s="41"/>
      <c r="AA8" s="42"/>
      <c r="AB8" s="41"/>
      <c r="AC8" s="42"/>
      <c r="AD8" s="41"/>
      <c r="AE8" s="42"/>
      <c r="AF8" s="41"/>
      <c r="AG8" s="42"/>
      <c r="AH8" s="41"/>
      <c r="AI8" s="42"/>
      <c r="AJ8" s="41"/>
      <c r="AK8" s="42"/>
      <c r="AL8" s="41"/>
      <c r="AM8" s="42"/>
      <c r="AN8" s="41"/>
      <c r="AO8" s="42"/>
      <c r="AP8" s="41"/>
      <c r="AQ8" s="42"/>
      <c r="AR8" s="41"/>
      <c r="AS8" s="42"/>
      <c r="AT8" s="41"/>
      <c r="AU8" s="42"/>
      <c r="AV8" s="41"/>
      <c r="AW8" s="42"/>
      <c r="AX8" s="41"/>
      <c r="AY8" s="43">
        <f t="shared" ref="AY8:AY17" si="4">+AS8+AQ8+AO8+AM8+AK8+AI8+AG8+AE8+AC8+AA8+Y8+W8+U8+AU8+AW8</f>
        <v>0</v>
      </c>
      <c r="AZ8" s="44">
        <f t="shared" si="0"/>
        <v>50</v>
      </c>
      <c r="BA8" s="52">
        <v>50</v>
      </c>
      <c r="BB8" s="37">
        <f t="shared" si="2"/>
        <v>0</v>
      </c>
    </row>
    <row r="9" spans="2:54" x14ac:dyDescent="0.25">
      <c r="B9" s="53"/>
      <c r="C9" s="152" t="s">
        <v>45</v>
      </c>
      <c r="D9" s="54" t="s">
        <v>46</v>
      </c>
      <c r="E9" s="55" t="s">
        <v>47</v>
      </c>
      <c r="F9" s="56">
        <v>32583</v>
      </c>
      <c r="G9" s="57">
        <v>48296</v>
      </c>
      <c r="H9" s="58" t="s">
        <v>29</v>
      </c>
      <c r="I9" s="58" t="s">
        <v>48</v>
      </c>
      <c r="J9" s="59" t="s">
        <v>49</v>
      </c>
      <c r="K9" s="60" t="s">
        <v>50</v>
      </c>
      <c r="L9" s="60" t="s">
        <v>51</v>
      </c>
      <c r="M9" s="61" t="s">
        <v>41</v>
      </c>
      <c r="N9" s="62">
        <v>1</v>
      </c>
      <c r="O9" s="34"/>
      <c r="P9" s="34"/>
      <c r="Q9" s="45">
        <f t="shared" si="1"/>
        <v>1</v>
      </c>
      <c r="R9" s="38"/>
      <c r="S9" s="39">
        <f t="shared" si="3"/>
        <v>1</v>
      </c>
      <c r="T9" s="39"/>
      <c r="U9" s="40"/>
      <c r="V9" s="41"/>
      <c r="W9" s="42"/>
      <c r="X9" s="41"/>
      <c r="Y9" s="42"/>
      <c r="Z9" s="41"/>
      <c r="AA9" s="42"/>
      <c r="AB9" s="41"/>
      <c r="AC9" s="42"/>
      <c r="AD9" s="41"/>
      <c r="AE9" s="42"/>
      <c r="AF9" s="41"/>
      <c r="AG9" s="42"/>
      <c r="AH9" s="41"/>
      <c r="AI9" s="42"/>
      <c r="AJ9" s="41"/>
      <c r="AK9" s="42"/>
      <c r="AL9" s="41"/>
      <c r="AM9" s="42"/>
      <c r="AN9" s="41"/>
      <c r="AO9" s="42"/>
      <c r="AP9" s="41"/>
      <c r="AQ9" s="42"/>
      <c r="AR9" s="41"/>
      <c r="AS9" s="42"/>
      <c r="AT9" s="41"/>
      <c r="AU9" s="42"/>
      <c r="AV9" s="41"/>
      <c r="AW9" s="42"/>
      <c r="AX9" s="41"/>
      <c r="AY9" s="43">
        <f t="shared" si="4"/>
        <v>0</v>
      </c>
      <c r="AZ9" s="45">
        <f t="shared" si="0"/>
        <v>1</v>
      </c>
      <c r="BA9" s="62">
        <v>1</v>
      </c>
      <c r="BB9" s="45">
        <f t="shared" si="2"/>
        <v>0</v>
      </c>
    </row>
    <row r="10" spans="2:54" x14ac:dyDescent="0.25">
      <c r="B10" s="53"/>
      <c r="C10" s="152" t="s">
        <v>52</v>
      </c>
      <c r="D10" s="54" t="s">
        <v>46</v>
      </c>
      <c r="E10" s="55" t="s">
        <v>47</v>
      </c>
      <c r="F10" s="56">
        <v>32583</v>
      </c>
      <c r="G10" s="57">
        <v>48296</v>
      </c>
      <c r="H10" s="58" t="s">
        <v>29</v>
      </c>
      <c r="I10" s="58" t="s">
        <v>48</v>
      </c>
      <c r="J10" s="59" t="s">
        <v>49</v>
      </c>
      <c r="K10" s="60" t="s">
        <v>53</v>
      </c>
      <c r="L10" s="60" t="s">
        <v>51</v>
      </c>
      <c r="M10" s="61" t="s">
        <v>41</v>
      </c>
      <c r="N10" s="62">
        <v>1</v>
      </c>
      <c r="O10" s="34"/>
      <c r="P10" s="34"/>
      <c r="Q10" s="45">
        <f t="shared" si="1"/>
        <v>1</v>
      </c>
      <c r="R10" s="38"/>
      <c r="S10" s="39">
        <f t="shared" si="3"/>
        <v>1</v>
      </c>
      <c r="T10" s="39"/>
      <c r="U10" s="40"/>
      <c r="V10" s="41"/>
      <c r="W10" s="42"/>
      <c r="X10" s="41"/>
      <c r="Y10" s="42"/>
      <c r="Z10" s="41"/>
      <c r="AA10" s="42"/>
      <c r="AB10" s="41"/>
      <c r="AC10" s="42"/>
      <c r="AD10" s="41"/>
      <c r="AE10" s="42"/>
      <c r="AF10" s="41"/>
      <c r="AG10" s="42"/>
      <c r="AH10" s="41"/>
      <c r="AI10" s="42"/>
      <c r="AJ10" s="41"/>
      <c r="AK10" s="42"/>
      <c r="AL10" s="41"/>
      <c r="AM10" s="42"/>
      <c r="AN10" s="41"/>
      <c r="AO10" s="42"/>
      <c r="AP10" s="41"/>
      <c r="AQ10" s="42"/>
      <c r="AR10" s="41"/>
      <c r="AS10" s="42"/>
      <c r="AT10" s="41"/>
      <c r="AU10" s="42"/>
      <c r="AV10" s="41"/>
      <c r="AW10" s="42"/>
      <c r="AX10" s="41"/>
      <c r="AY10" s="43">
        <f t="shared" si="4"/>
        <v>0</v>
      </c>
      <c r="AZ10" s="45">
        <f t="shared" si="0"/>
        <v>1</v>
      </c>
      <c r="BA10" s="62">
        <v>1</v>
      </c>
      <c r="BB10" s="45">
        <f t="shared" si="2"/>
        <v>0</v>
      </c>
    </row>
    <row r="11" spans="2:54" x14ac:dyDescent="0.25">
      <c r="B11" s="2"/>
      <c r="C11" s="152" t="s">
        <v>54</v>
      </c>
      <c r="D11" s="54" t="s">
        <v>55</v>
      </c>
      <c r="E11" s="63" t="s">
        <v>56</v>
      </c>
      <c r="F11" s="64">
        <v>32587</v>
      </c>
      <c r="G11" s="65">
        <v>47908</v>
      </c>
      <c r="H11" s="66" t="s">
        <v>29</v>
      </c>
      <c r="I11" s="66" t="s">
        <v>57</v>
      </c>
      <c r="J11" s="67" t="s">
        <v>58</v>
      </c>
      <c r="K11" s="68" t="s">
        <v>59</v>
      </c>
      <c r="L11" s="68" t="s">
        <v>60</v>
      </c>
      <c r="M11" s="69" t="s">
        <v>41</v>
      </c>
      <c r="N11" s="70">
        <v>2</v>
      </c>
      <c r="O11" s="34"/>
      <c r="P11" s="34"/>
      <c r="Q11" s="45">
        <f t="shared" si="1"/>
        <v>2</v>
      </c>
      <c r="R11" s="38"/>
      <c r="S11" s="39">
        <f t="shared" si="3"/>
        <v>2</v>
      </c>
      <c r="T11" s="39"/>
      <c r="U11" s="40"/>
      <c r="V11" s="41"/>
      <c r="W11" s="42"/>
      <c r="X11" s="41"/>
      <c r="Y11" s="42"/>
      <c r="Z11" s="41"/>
      <c r="AA11" s="42"/>
      <c r="AB11" s="41"/>
      <c r="AC11" s="42"/>
      <c r="AD11" s="41"/>
      <c r="AE11" s="42"/>
      <c r="AF11" s="41"/>
      <c r="AG11" s="42"/>
      <c r="AH11" s="41"/>
      <c r="AI11" s="42"/>
      <c r="AJ11" s="41"/>
      <c r="AK11" s="42"/>
      <c r="AL11" s="41"/>
      <c r="AM11" s="42"/>
      <c r="AN11" s="41"/>
      <c r="AO11" s="42"/>
      <c r="AP11" s="41"/>
      <c r="AQ11" s="42"/>
      <c r="AR11" s="41"/>
      <c r="AS11" s="42"/>
      <c r="AT11" s="41"/>
      <c r="AU11" s="42"/>
      <c r="AV11" s="41"/>
      <c r="AW11" s="42"/>
      <c r="AX11" s="41"/>
      <c r="AY11" s="43">
        <f t="shared" si="4"/>
        <v>0</v>
      </c>
      <c r="AZ11" s="45">
        <f t="shared" si="0"/>
        <v>2</v>
      </c>
      <c r="BA11" s="70">
        <v>2</v>
      </c>
      <c r="BB11" s="45">
        <f t="shared" si="2"/>
        <v>0</v>
      </c>
    </row>
    <row r="12" spans="2:54" x14ac:dyDescent="0.25">
      <c r="B12" s="2"/>
      <c r="C12" s="152" t="s">
        <v>61</v>
      </c>
      <c r="D12" s="54" t="s">
        <v>62</v>
      </c>
      <c r="E12" s="55" t="s">
        <v>56</v>
      </c>
      <c r="F12" s="56">
        <v>32589</v>
      </c>
      <c r="G12" s="71">
        <v>47907</v>
      </c>
      <c r="H12" s="58" t="s">
        <v>29</v>
      </c>
      <c r="I12" s="58" t="s">
        <v>63</v>
      </c>
      <c r="J12" s="59" t="s">
        <v>58</v>
      </c>
      <c r="K12" s="60" t="s">
        <v>64</v>
      </c>
      <c r="L12" s="60" t="s">
        <v>65</v>
      </c>
      <c r="M12" s="61" t="s">
        <v>66</v>
      </c>
      <c r="N12" s="62">
        <v>16</v>
      </c>
      <c r="O12" s="34"/>
      <c r="P12" s="34"/>
      <c r="Q12" s="45">
        <f t="shared" si="1"/>
        <v>16</v>
      </c>
      <c r="R12" s="38"/>
      <c r="S12" s="39">
        <f t="shared" si="3"/>
        <v>16</v>
      </c>
      <c r="T12" s="39"/>
      <c r="U12" s="40"/>
      <c r="V12" s="41"/>
      <c r="W12" s="42"/>
      <c r="X12" s="41"/>
      <c r="Y12" s="42"/>
      <c r="Z12" s="41"/>
      <c r="AA12" s="42"/>
      <c r="AB12" s="41"/>
      <c r="AC12" s="42"/>
      <c r="AD12" s="41"/>
      <c r="AE12" s="42"/>
      <c r="AF12" s="41"/>
      <c r="AG12" s="42"/>
      <c r="AH12" s="41"/>
      <c r="AI12" s="42"/>
      <c r="AJ12" s="41"/>
      <c r="AK12" s="42"/>
      <c r="AL12" s="41"/>
      <c r="AM12" s="42"/>
      <c r="AN12" s="41"/>
      <c r="AO12" s="42"/>
      <c r="AP12" s="41"/>
      <c r="AQ12" s="42"/>
      <c r="AR12" s="41"/>
      <c r="AS12" s="42"/>
      <c r="AT12" s="41"/>
      <c r="AU12" s="42"/>
      <c r="AV12" s="41"/>
      <c r="AW12" s="42"/>
      <c r="AX12" s="41"/>
      <c r="AY12" s="43">
        <f t="shared" si="4"/>
        <v>0</v>
      </c>
      <c r="AZ12" s="45">
        <f t="shared" si="0"/>
        <v>16</v>
      </c>
      <c r="BA12" s="62">
        <v>16</v>
      </c>
      <c r="BB12" s="45">
        <f t="shared" si="2"/>
        <v>0</v>
      </c>
    </row>
    <row r="13" spans="2:54" x14ac:dyDescent="0.25">
      <c r="B13" s="2"/>
      <c r="C13" s="152" t="s">
        <v>67</v>
      </c>
      <c r="D13" s="54" t="s">
        <v>68</v>
      </c>
      <c r="E13" s="55" t="s">
        <v>56</v>
      </c>
      <c r="F13" s="56">
        <v>32589</v>
      </c>
      <c r="G13" s="71">
        <v>47907</v>
      </c>
      <c r="H13" s="58" t="s">
        <v>29</v>
      </c>
      <c r="I13" s="58" t="s">
        <v>63</v>
      </c>
      <c r="J13" s="59" t="s">
        <v>58</v>
      </c>
      <c r="K13" s="60" t="s">
        <v>69</v>
      </c>
      <c r="L13" s="60" t="s">
        <v>65</v>
      </c>
      <c r="M13" s="61" t="s">
        <v>66</v>
      </c>
      <c r="N13" s="62">
        <v>6</v>
      </c>
      <c r="O13" s="34"/>
      <c r="P13" s="34"/>
      <c r="Q13" s="45">
        <f t="shared" si="1"/>
        <v>6</v>
      </c>
      <c r="R13" s="38"/>
      <c r="S13" s="39">
        <f t="shared" si="3"/>
        <v>6</v>
      </c>
      <c r="T13" s="39"/>
      <c r="U13" s="40"/>
      <c r="V13" s="41"/>
      <c r="W13" s="42"/>
      <c r="X13" s="41"/>
      <c r="Y13" s="42"/>
      <c r="Z13" s="41"/>
      <c r="AA13" s="42"/>
      <c r="AB13" s="41"/>
      <c r="AC13" s="42"/>
      <c r="AD13" s="41"/>
      <c r="AE13" s="42"/>
      <c r="AF13" s="41"/>
      <c r="AG13" s="42"/>
      <c r="AH13" s="41"/>
      <c r="AI13" s="42"/>
      <c r="AJ13" s="41"/>
      <c r="AK13" s="42"/>
      <c r="AL13" s="41"/>
      <c r="AM13" s="42"/>
      <c r="AN13" s="41"/>
      <c r="AO13" s="42"/>
      <c r="AP13" s="41"/>
      <c r="AQ13" s="42"/>
      <c r="AR13" s="41"/>
      <c r="AS13" s="42"/>
      <c r="AT13" s="41"/>
      <c r="AU13" s="42"/>
      <c r="AV13" s="41"/>
      <c r="AW13" s="42"/>
      <c r="AX13" s="41"/>
      <c r="AY13" s="43">
        <f t="shared" si="4"/>
        <v>0</v>
      </c>
      <c r="AZ13" s="45">
        <f t="shared" si="0"/>
        <v>6</v>
      </c>
      <c r="BA13" s="62">
        <v>6</v>
      </c>
      <c r="BB13" s="45">
        <f t="shared" si="2"/>
        <v>0</v>
      </c>
    </row>
    <row r="14" spans="2:54" x14ac:dyDescent="0.25">
      <c r="B14" s="2"/>
      <c r="C14" s="152" t="s">
        <v>70</v>
      </c>
      <c r="D14" s="54" t="s">
        <v>68</v>
      </c>
      <c r="E14" s="55" t="s">
        <v>56</v>
      </c>
      <c r="F14" s="56">
        <v>32589</v>
      </c>
      <c r="G14" s="71">
        <v>47907</v>
      </c>
      <c r="H14" s="58" t="s">
        <v>29</v>
      </c>
      <c r="I14" s="58" t="s">
        <v>63</v>
      </c>
      <c r="J14" s="59" t="s">
        <v>58</v>
      </c>
      <c r="K14" s="60" t="s">
        <v>71</v>
      </c>
      <c r="L14" s="60" t="s">
        <v>65</v>
      </c>
      <c r="M14" s="61" t="s">
        <v>66</v>
      </c>
      <c r="N14" s="62">
        <v>4</v>
      </c>
      <c r="O14" s="34"/>
      <c r="P14" s="34"/>
      <c r="Q14" s="45">
        <f t="shared" si="1"/>
        <v>4</v>
      </c>
      <c r="R14" s="38"/>
      <c r="S14" s="39">
        <f t="shared" si="3"/>
        <v>4</v>
      </c>
      <c r="T14" s="39"/>
      <c r="U14" s="40"/>
      <c r="V14" s="41"/>
      <c r="W14" s="42"/>
      <c r="X14" s="41"/>
      <c r="Y14" s="42"/>
      <c r="Z14" s="41"/>
      <c r="AA14" s="42"/>
      <c r="AB14" s="41"/>
      <c r="AC14" s="42"/>
      <c r="AD14" s="41"/>
      <c r="AE14" s="42"/>
      <c r="AF14" s="41"/>
      <c r="AG14" s="42"/>
      <c r="AH14" s="41"/>
      <c r="AI14" s="42"/>
      <c r="AJ14" s="41"/>
      <c r="AK14" s="42"/>
      <c r="AL14" s="41"/>
      <c r="AM14" s="42"/>
      <c r="AN14" s="41"/>
      <c r="AO14" s="42"/>
      <c r="AP14" s="41"/>
      <c r="AQ14" s="42"/>
      <c r="AR14" s="41"/>
      <c r="AS14" s="42"/>
      <c r="AT14" s="41"/>
      <c r="AU14" s="42"/>
      <c r="AV14" s="41"/>
      <c r="AW14" s="42"/>
      <c r="AX14" s="41"/>
      <c r="AY14" s="43">
        <f t="shared" si="4"/>
        <v>0</v>
      </c>
      <c r="AZ14" s="45">
        <f t="shared" si="0"/>
        <v>4</v>
      </c>
      <c r="BA14" s="62">
        <v>4</v>
      </c>
      <c r="BB14" s="45">
        <f t="shared" si="2"/>
        <v>0</v>
      </c>
    </row>
    <row r="15" spans="2:54" x14ac:dyDescent="0.25">
      <c r="B15" s="2"/>
      <c r="C15" s="152" t="s">
        <v>72</v>
      </c>
      <c r="D15" s="54" t="s">
        <v>73</v>
      </c>
      <c r="E15" s="55" t="s">
        <v>56</v>
      </c>
      <c r="F15" s="56">
        <v>32589</v>
      </c>
      <c r="G15" s="71">
        <v>47907</v>
      </c>
      <c r="H15" s="58" t="s">
        <v>29</v>
      </c>
      <c r="I15" s="58" t="s">
        <v>63</v>
      </c>
      <c r="J15" s="59" t="s">
        <v>58</v>
      </c>
      <c r="K15" s="60" t="s">
        <v>74</v>
      </c>
      <c r="L15" s="60" t="s">
        <v>65</v>
      </c>
      <c r="M15" s="61" t="s">
        <v>66</v>
      </c>
      <c r="N15" s="62">
        <v>2</v>
      </c>
      <c r="O15" s="34"/>
      <c r="P15" s="34"/>
      <c r="Q15" s="45">
        <f t="shared" si="1"/>
        <v>2</v>
      </c>
      <c r="R15" s="38"/>
      <c r="S15" s="39">
        <f t="shared" si="3"/>
        <v>2</v>
      </c>
      <c r="T15" s="39"/>
      <c r="U15" s="40"/>
      <c r="V15" s="41"/>
      <c r="W15" s="42"/>
      <c r="X15" s="41"/>
      <c r="Y15" s="42"/>
      <c r="Z15" s="41"/>
      <c r="AA15" s="42"/>
      <c r="AB15" s="41"/>
      <c r="AC15" s="42"/>
      <c r="AD15" s="41"/>
      <c r="AE15" s="42"/>
      <c r="AF15" s="41"/>
      <c r="AG15" s="42"/>
      <c r="AH15" s="41"/>
      <c r="AI15" s="42"/>
      <c r="AJ15" s="41"/>
      <c r="AK15" s="42"/>
      <c r="AL15" s="41"/>
      <c r="AM15" s="42"/>
      <c r="AN15" s="41"/>
      <c r="AO15" s="42"/>
      <c r="AP15" s="41"/>
      <c r="AQ15" s="42"/>
      <c r="AR15" s="41"/>
      <c r="AS15" s="42"/>
      <c r="AT15" s="41"/>
      <c r="AU15" s="42"/>
      <c r="AV15" s="41"/>
      <c r="AW15" s="42"/>
      <c r="AX15" s="41"/>
      <c r="AY15" s="43">
        <f t="shared" si="4"/>
        <v>0</v>
      </c>
      <c r="AZ15" s="45">
        <f t="shared" si="0"/>
        <v>2</v>
      </c>
      <c r="BA15" s="62">
        <v>2</v>
      </c>
      <c r="BB15" s="45">
        <f t="shared" si="2"/>
        <v>0</v>
      </c>
    </row>
    <row r="16" spans="2:54" x14ac:dyDescent="0.25">
      <c r="B16" s="2"/>
      <c r="C16" s="152" t="s">
        <v>75</v>
      </c>
      <c r="D16" s="54" t="s">
        <v>76</v>
      </c>
      <c r="E16" s="55" t="s">
        <v>77</v>
      </c>
      <c r="F16" s="55">
        <v>32311</v>
      </c>
      <c r="G16" s="63">
        <v>47980</v>
      </c>
      <c r="H16" s="66" t="s">
        <v>29</v>
      </c>
      <c r="I16" s="55" t="s">
        <v>78</v>
      </c>
      <c r="J16" s="72" t="s">
        <v>79</v>
      </c>
      <c r="K16" s="60" t="s">
        <v>80</v>
      </c>
      <c r="L16" s="73" t="s">
        <v>81</v>
      </c>
      <c r="M16" s="61" t="s">
        <v>82</v>
      </c>
      <c r="N16" s="62">
        <v>1</v>
      </c>
      <c r="O16" s="46"/>
      <c r="P16" s="46"/>
      <c r="Q16" s="45">
        <f t="shared" si="1"/>
        <v>1</v>
      </c>
      <c r="R16" s="38"/>
      <c r="S16" s="39">
        <f t="shared" si="3"/>
        <v>1</v>
      </c>
      <c r="T16" s="39"/>
      <c r="U16" s="40">
        <v>1</v>
      </c>
      <c r="V16" s="41">
        <v>31902</v>
      </c>
      <c r="W16" s="42"/>
      <c r="X16" s="41"/>
      <c r="Y16" s="42"/>
      <c r="Z16" s="41"/>
      <c r="AA16" s="42"/>
      <c r="AB16" s="41"/>
      <c r="AC16" s="42"/>
      <c r="AD16" s="41"/>
      <c r="AE16" s="42"/>
      <c r="AF16" s="41"/>
      <c r="AG16" s="42"/>
      <c r="AH16" s="41"/>
      <c r="AI16" s="42"/>
      <c r="AJ16" s="41"/>
      <c r="AK16" s="42"/>
      <c r="AL16" s="41"/>
      <c r="AM16" s="42"/>
      <c r="AN16" s="41"/>
      <c r="AO16" s="42"/>
      <c r="AP16" s="41"/>
      <c r="AQ16" s="42"/>
      <c r="AR16" s="41"/>
      <c r="AS16" s="42"/>
      <c r="AT16" s="41"/>
      <c r="AU16" s="42"/>
      <c r="AV16" s="41"/>
      <c r="AW16" s="42"/>
      <c r="AX16" s="41"/>
      <c r="AY16" s="43">
        <f t="shared" si="4"/>
        <v>1</v>
      </c>
      <c r="AZ16" s="45">
        <f t="shared" si="0"/>
        <v>0</v>
      </c>
      <c r="BA16" s="62">
        <v>0</v>
      </c>
      <c r="BB16" s="45">
        <f t="shared" si="2"/>
        <v>0</v>
      </c>
    </row>
    <row r="17" spans="2:61" x14ac:dyDescent="0.25">
      <c r="B17" s="2"/>
      <c r="C17" s="152" t="s">
        <v>83</v>
      </c>
      <c r="D17" s="54" t="s">
        <v>76</v>
      </c>
      <c r="E17" s="55" t="s">
        <v>77</v>
      </c>
      <c r="F17" s="55">
        <v>32311</v>
      </c>
      <c r="G17" s="63">
        <v>47980</v>
      </c>
      <c r="H17" s="66" t="s">
        <v>29</v>
      </c>
      <c r="I17" s="55" t="s">
        <v>78</v>
      </c>
      <c r="J17" s="72" t="s">
        <v>79</v>
      </c>
      <c r="K17" s="60" t="s">
        <v>84</v>
      </c>
      <c r="L17" s="73" t="s">
        <v>81</v>
      </c>
      <c r="M17" s="61" t="s">
        <v>82</v>
      </c>
      <c r="N17" s="62">
        <v>16</v>
      </c>
      <c r="O17" s="46"/>
      <c r="P17" s="46"/>
      <c r="Q17" s="45">
        <f t="shared" si="1"/>
        <v>16</v>
      </c>
      <c r="R17" s="38"/>
      <c r="S17" s="39">
        <f t="shared" si="3"/>
        <v>16</v>
      </c>
      <c r="T17" s="39"/>
      <c r="U17" s="40">
        <v>10</v>
      </c>
      <c r="V17" s="41">
        <v>31902</v>
      </c>
      <c r="W17" s="42"/>
      <c r="X17" s="41"/>
      <c r="Y17" s="42"/>
      <c r="Z17" s="41"/>
      <c r="AA17" s="42"/>
      <c r="AB17" s="41"/>
      <c r="AC17" s="42"/>
      <c r="AD17" s="41"/>
      <c r="AE17" s="42"/>
      <c r="AF17" s="41"/>
      <c r="AG17" s="42"/>
      <c r="AH17" s="41"/>
      <c r="AI17" s="42"/>
      <c r="AJ17" s="41"/>
      <c r="AK17" s="42"/>
      <c r="AL17" s="41"/>
      <c r="AM17" s="42"/>
      <c r="AN17" s="41"/>
      <c r="AO17" s="42"/>
      <c r="AP17" s="41"/>
      <c r="AQ17" s="42"/>
      <c r="AR17" s="41"/>
      <c r="AS17" s="42"/>
      <c r="AT17" s="41"/>
      <c r="AU17" s="42"/>
      <c r="AV17" s="41"/>
      <c r="AW17" s="42"/>
      <c r="AX17" s="41"/>
      <c r="AY17" s="43">
        <f t="shared" si="4"/>
        <v>10</v>
      </c>
      <c r="AZ17" s="45">
        <f t="shared" si="0"/>
        <v>6</v>
      </c>
      <c r="BA17" s="62">
        <v>6</v>
      </c>
      <c r="BB17" s="45">
        <f t="shared" si="2"/>
        <v>0</v>
      </c>
    </row>
    <row r="19" spans="2:61" x14ac:dyDescent="0.25">
      <c r="C19" s="117" t="s">
        <v>85</v>
      </c>
    </row>
    <row r="20" spans="2:61" ht="18.75" thickBot="1" x14ac:dyDescent="0.3">
      <c r="C20" s="118" t="s">
        <v>0</v>
      </c>
    </row>
    <row r="21" spans="2:61" ht="32.25" thickBot="1" x14ac:dyDescent="0.3">
      <c r="C21" s="17" t="s">
        <v>6</v>
      </c>
      <c r="D21" s="74" t="s">
        <v>7</v>
      </c>
      <c r="E21" s="75" t="s">
        <v>8</v>
      </c>
      <c r="F21" s="75" t="s">
        <v>9</v>
      </c>
      <c r="G21" s="75" t="s">
        <v>10</v>
      </c>
      <c r="H21" s="75" t="s">
        <v>11</v>
      </c>
      <c r="I21" s="75" t="s">
        <v>12</v>
      </c>
      <c r="J21" s="76" t="s">
        <v>13</v>
      </c>
      <c r="K21" s="75" t="s">
        <v>14</v>
      </c>
      <c r="L21" s="75" t="s">
        <v>86</v>
      </c>
      <c r="M21" s="77" t="s">
        <v>16</v>
      </c>
      <c r="N21" s="75" t="s">
        <v>17</v>
      </c>
      <c r="O21" s="78" t="s">
        <v>18</v>
      </c>
      <c r="P21" s="79" t="s">
        <v>19</v>
      </c>
      <c r="Q21" s="75" t="s">
        <v>20</v>
      </c>
      <c r="R21" s="75" t="s">
        <v>20</v>
      </c>
      <c r="S21" s="79" t="s">
        <v>19</v>
      </c>
      <c r="T21" s="80" t="s">
        <v>21</v>
      </c>
      <c r="U21" s="80"/>
      <c r="V21" s="81" t="s">
        <v>20</v>
      </c>
      <c r="W21" s="82" t="s">
        <v>19</v>
      </c>
      <c r="X21" s="81" t="s">
        <v>20</v>
      </c>
      <c r="Y21" s="82" t="s">
        <v>19</v>
      </c>
      <c r="Z21" s="81" t="s">
        <v>20</v>
      </c>
      <c r="AA21" s="82" t="s">
        <v>19</v>
      </c>
      <c r="AB21" s="81" t="s">
        <v>20</v>
      </c>
      <c r="AC21" s="83" t="s">
        <v>19</v>
      </c>
      <c r="AD21" s="81" t="s">
        <v>20</v>
      </c>
      <c r="AE21" s="83" t="s">
        <v>19</v>
      </c>
      <c r="AF21" s="81" t="s">
        <v>20</v>
      </c>
      <c r="AG21" s="83" t="s">
        <v>19</v>
      </c>
      <c r="AH21" s="81" t="s">
        <v>20</v>
      </c>
      <c r="AI21" s="83" t="s">
        <v>19</v>
      </c>
      <c r="AJ21" s="81" t="s">
        <v>20</v>
      </c>
      <c r="AK21" s="83" t="s">
        <v>19</v>
      </c>
      <c r="AL21" s="81" t="s">
        <v>20</v>
      </c>
      <c r="AM21" s="83" t="s">
        <v>19</v>
      </c>
      <c r="AN21" s="81" t="s">
        <v>20</v>
      </c>
      <c r="AO21" s="83" t="s">
        <v>19</v>
      </c>
      <c r="AP21" s="81" t="s">
        <v>20</v>
      </c>
      <c r="AQ21" s="83" t="s">
        <v>19</v>
      </c>
      <c r="AR21" s="81" t="s">
        <v>20</v>
      </c>
      <c r="AS21" s="83" t="s">
        <v>19</v>
      </c>
      <c r="AT21" s="81" t="s">
        <v>20</v>
      </c>
      <c r="AU21" s="83" t="s">
        <v>19</v>
      </c>
      <c r="AV21" s="81" t="s">
        <v>20</v>
      </c>
      <c r="AW21" s="83" t="s">
        <v>19</v>
      </c>
      <c r="AX21" s="81" t="s">
        <v>20</v>
      </c>
      <c r="AY21" s="83" t="s">
        <v>19</v>
      </c>
      <c r="AZ21" s="81" t="s">
        <v>20</v>
      </c>
      <c r="BA21" s="83" t="s">
        <v>19</v>
      </c>
      <c r="BB21" s="81" t="s">
        <v>20</v>
      </c>
      <c r="BC21" s="83" t="s">
        <v>19</v>
      </c>
      <c r="BD21" s="81" t="s">
        <v>20</v>
      </c>
      <c r="BE21" s="83" t="s">
        <v>19</v>
      </c>
      <c r="BF21" s="84" t="s">
        <v>23</v>
      </c>
      <c r="BG21" s="85" t="s">
        <v>24</v>
      </c>
      <c r="BH21" s="86" t="s">
        <v>25</v>
      </c>
      <c r="BI21" s="87" t="s">
        <v>26</v>
      </c>
    </row>
    <row r="22" spans="2:61" x14ac:dyDescent="0.25">
      <c r="C22" s="153">
        <v>1170</v>
      </c>
      <c r="D22" s="88" t="s">
        <v>87</v>
      </c>
      <c r="E22" s="66" t="s">
        <v>88</v>
      </c>
      <c r="F22" s="66">
        <v>1009</v>
      </c>
      <c r="G22" s="66">
        <v>2044</v>
      </c>
      <c r="H22" s="32" t="s">
        <v>89</v>
      </c>
      <c r="I22" s="66" t="s">
        <v>90</v>
      </c>
      <c r="J22" s="89" t="s">
        <v>91</v>
      </c>
      <c r="K22" s="67" t="s">
        <v>92</v>
      </c>
      <c r="L22" s="67" t="s">
        <v>93</v>
      </c>
      <c r="M22" s="66" t="s">
        <v>41</v>
      </c>
      <c r="N22" s="90">
        <v>6</v>
      </c>
      <c r="O22" s="91"/>
      <c r="P22" s="91"/>
      <c r="Q22" s="45">
        <f>+N22+O22</f>
        <v>6</v>
      </c>
      <c r="R22" s="45"/>
      <c r="S22" s="38"/>
      <c r="T22" s="39"/>
      <c r="U22" s="39"/>
      <c r="V22" s="92"/>
      <c r="W22" s="93"/>
      <c r="X22" s="92"/>
      <c r="Y22" s="93"/>
      <c r="Z22" s="92"/>
      <c r="AA22" s="93"/>
      <c r="AB22" s="92"/>
      <c r="AC22" s="93"/>
      <c r="AD22" s="92"/>
      <c r="AE22" s="93"/>
      <c r="AF22" s="92"/>
      <c r="AG22" s="93"/>
      <c r="AH22" s="92"/>
      <c r="AI22" s="93"/>
      <c r="AJ22" s="92"/>
      <c r="AK22" s="93"/>
      <c r="AL22" s="92"/>
      <c r="AM22" s="93"/>
      <c r="AN22" s="92"/>
      <c r="AO22" s="93"/>
      <c r="AP22" s="92"/>
      <c r="AQ22" s="93"/>
      <c r="AR22" s="92"/>
      <c r="AS22" s="93"/>
      <c r="AT22" s="92"/>
      <c r="AU22" s="93"/>
      <c r="AV22" s="92"/>
      <c r="AW22" s="93"/>
      <c r="AX22" s="92"/>
      <c r="AY22" s="93"/>
      <c r="AZ22" s="92"/>
      <c r="BA22" s="93"/>
      <c r="BB22" s="92"/>
      <c r="BC22" s="93"/>
      <c r="BD22" s="92"/>
      <c r="BE22" s="93"/>
      <c r="BF22" s="94">
        <f>+V22+X22+Z22+AB22+AD22+AF22+AH22+AJ22+AL22+AN22+AP22+AR22+AT22+AV22+AX22+AZ22+BB22+BD22</f>
        <v>0</v>
      </c>
      <c r="BG22" s="45">
        <f t="shared" ref="BG22:BG38" si="5">+Q22-BF22</f>
        <v>6</v>
      </c>
      <c r="BH22" s="90">
        <v>6</v>
      </c>
      <c r="BI22" s="95">
        <f>+BH22-BG22</f>
        <v>0</v>
      </c>
    </row>
    <row r="23" spans="2:61" x14ac:dyDescent="0.25">
      <c r="C23" s="154">
        <v>1181</v>
      </c>
      <c r="D23" s="96" t="s">
        <v>94</v>
      </c>
      <c r="E23" s="58" t="s">
        <v>88</v>
      </c>
      <c r="F23" s="58">
        <v>1020</v>
      </c>
      <c r="G23" s="58">
        <v>2044</v>
      </c>
      <c r="H23" s="50" t="s">
        <v>89</v>
      </c>
      <c r="I23" s="58" t="s">
        <v>95</v>
      </c>
      <c r="J23" s="97" t="s">
        <v>96</v>
      </c>
      <c r="K23" s="59" t="s">
        <v>97</v>
      </c>
      <c r="L23" s="59" t="s">
        <v>98</v>
      </c>
      <c r="M23" s="58" t="s">
        <v>41</v>
      </c>
      <c r="N23" s="98">
        <v>2</v>
      </c>
      <c r="O23" s="99"/>
      <c r="P23" s="99"/>
      <c r="Q23" s="37">
        <f t="shared" ref="Q23:Q38" si="6">+N23+O23</f>
        <v>2</v>
      </c>
      <c r="R23" s="37"/>
      <c r="S23" s="100"/>
      <c r="T23" s="101"/>
      <c r="U23" s="101"/>
      <c r="V23" s="102"/>
      <c r="W23" s="103"/>
      <c r="X23" s="102"/>
      <c r="Y23" s="103"/>
      <c r="Z23" s="102"/>
      <c r="AA23" s="103"/>
      <c r="AB23" s="102"/>
      <c r="AC23" s="103"/>
      <c r="AD23" s="102"/>
      <c r="AE23" s="103"/>
      <c r="AF23" s="102"/>
      <c r="AG23" s="103"/>
      <c r="AH23" s="102"/>
      <c r="AI23" s="103"/>
      <c r="AJ23" s="102"/>
      <c r="AK23" s="103"/>
      <c r="AL23" s="102"/>
      <c r="AM23" s="103"/>
      <c r="AN23" s="102"/>
      <c r="AO23" s="103"/>
      <c r="AP23" s="102"/>
      <c r="AQ23" s="103"/>
      <c r="AR23" s="102"/>
      <c r="AS23" s="103"/>
      <c r="AT23" s="102"/>
      <c r="AU23" s="103"/>
      <c r="AV23" s="102"/>
      <c r="AW23" s="103"/>
      <c r="AX23" s="102"/>
      <c r="AY23" s="103"/>
      <c r="AZ23" s="102"/>
      <c r="BA23" s="103"/>
      <c r="BB23" s="102"/>
      <c r="BC23" s="103"/>
      <c r="BD23" s="102"/>
      <c r="BE23" s="103"/>
      <c r="BF23" s="104">
        <f>+V23+X23+Z23+AB23+AD23+AF23+AH23+AJ23+AL23+AN23+AP23+AR23+AT23+AV23+AX23+AZ23+BB23+BD23</f>
        <v>0</v>
      </c>
      <c r="BG23" s="37">
        <f t="shared" si="5"/>
        <v>2</v>
      </c>
      <c r="BH23" s="98">
        <v>2</v>
      </c>
      <c r="BI23" s="105">
        <f>+BH23-BG23</f>
        <v>0</v>
      </c>
    </row>
    <row r="24" spans="2:61" x14ac:dyDescent="0.25">
      <c r="C24" s="154" t="s">
        <v>111</v>
      </c>
      <c r="D24" s="106" t="s">
        <v>112</v>
      </c>
      <c r="E24" s="55" t="s">
        <v>113</v>
      </c>
      <c r="F24" s="71">
        <v>15485</v>
      </c>
      <c r="G24" s="71" t="s">
        <v>114</v>
      </c>
      <c r="H24" s="58" t="s">
        <v>29</v>
      </c>
      <c r="I24" s="58" t="s">
        <v>115</v>
      </c>
      <c r="J24" s="59" t="s">
        <v>110</v>
      </c>
      <c r="K24" s="59" t="s">
        <v>116</v>
      </c>
      <c r="L24" s="60" t="s">
        <v>117</v>
      </c>
      <c r="M24" s="107" t="s">
        <v>41</v>
      </c>
      <c r="N24" s="108">
        <v>15</v>
      </c>
      <c r="O24" s="48"/>
      <c r="P24" s="48"/>
      <c r="Q24" s="37">
        <f t="shared" si="6"/>
        <v>15</v>
      </c>
      <c r="R24" s="37"/>
      <c r="S24" s="100"/>
      <c r="T24" s="101"/>
      <c r="U24" s="101"/>
      <c r="V24" s="102">
        <v>5</v>
      </c>
      <c r="W24" s="103">
        <v>25978</v>
      </c>
      <c r="X24" s="102">
        <v>5</v>
      </c>
      <c r="Y24" s="103">
        <v>26002</v>
      </c>
      <c r="Z24" s="102">
        <v>3</v>
      </c>
      <c r="AA24" s="103">
        <v>26020</v>
      </c>
      <c r="AB24" s="102"/>
      <c r="AC24" s="103"/>
      <c r="AD24" s="102"/>
      <c r="AE24" s="103"/>
      <c r="AF24" s="102"/>
      <c r="AG24" s="103"/>
      <c r="AH24" s="102"/>
      <c r="AI24" s="103"/>
      <c r="AJ24" s="102"/>
      <c r="AK24" s="103"/>
      <c r="AL24" s="102"/>
      <c r="AM24" s="103"/>
      <c r="AN24" s="102"/>
      <c r="AO24" s="103"/>
      <c r="AP24" s="102"/>
      <c r="AQ24" s="103"/>
      <c r="AR24" s="102"/>
      <c r="AS24" s="103"/>
      <c r="AT24" s="102"/>
      <c r="AU24" s="103"/>
      <c r="AV24" s="102"/>
      <c r="AW24" s="103"/>
      <c r="AX24" s="102"/>
      <c r="AY24" s="103"/>
      <c r="AZ24" s="102"/>
      <c r="BA24" s="103"/>
      <c r="BB24" s="102"/>
      <c r="BC24" s="103"/>
      <c r="BD24" s="102"/>
      <c r="BE24" s="103"/>
      <c r="BF24" s="104">
        <f t="shared" ref="BF24:BF38" si="7">+V24+X24+Z24+AB24+AD24+AF24+AH24+AJ24+AL24+AN24+AP24+AR24+AT24+AV24+AX24+AZ24+BB24+BD24</f>
        <v>13</v>
      </c>
      <c r="BG24" s="109">
        <f t="shared" si="5"/>
        <v>2</v>
      </c>
      <c r="BH24" s="108">
        <v>2</v>
      </c>
      <c r="BI24" s="110">
        <f>+BH24-BG24</f>
        <v>0</v>
      </c>
    </row>
    <row r="25" spans="2:61" x14ac:dyDescent="0.25">
      <c r="C25" s="154" t="s">
        <v>118</v>
      </c>
      <c r="D25" s="111" t="s">
        <v>112</v>
      </c>
      <c r="E25" s="55" t="s">
        <v>113</v>
      </c>
      <c r="F25" s="71">
        <v>15485</v>
      </c>
      <c r="G25" s="71" t="s">
        <v>114</v>
      </c>
      <c r="H25" s="58" t="s">
        <v>29</v>
      </c>
      <c r="I25" s="58" t="s">
        <v>115</v>
      </c>
      <c r="J25" s="59" t="s">
        <v>110</v>
      </c>
      <c r="K25" s="59" t="s">
        <v>119</v>
      </c>
      <c r="L25" s="60" t="s">
        <v>117</v>
      </c>
      <c r="M25" s="107" t="s">
        <v>41</v>
      </c>
      <c r="N25" s="108">
        <v>22</v>
      </c>
      <c r="O25" s="48"/>
      <c r="P25" s="48"/>
      <c r="Q25" s="37">
        <f t="shared" si="6"/>
        <v>22</v>
      </c>
      <c r="R25" s="37"/>
      <c r="S25" s="100"/>
      <c r="T25" s="101"/>
      <c r="U25" s="101"/>
      <c r="V25" s="102">
        <v>3</v>
      </c>
      <c r="W25" s="103">
        <v>25942</v>
      </c>
      <c r="X25" s="102">
        <v>2</v>
      </c>
      <c r="Y25" s="103">
        <v>26020</v>
      </c>
      <c r="Z25" s="102"/>
      <c r="AA25" s="103"/>
      <c r="AB25" s="102"/>
      <c r="AC25" s="103"/>
      <c r="AD25" s="102"/>
      <c r="AE25" s="103"/>
      <c r="AF25" s="102"/>
      <c r="AG25" s="103"/>
      <c r="AH25" s="102"/>
      <c r="AI25" s="103"/>
      <c r="AJ25" s="102"/>
      <c r="AK25" s="103"/>
      <c r="AL25" s="102"/>
      <c r="AM25" s="103"/>
      <c r="AN25" s="102"/>
      <c r="AO25" s="103"/>
      <c r="AP25" s="102"/>
      <c r="AQ25" s="103"/>
      <c r="AR25" s="102"/>
      <c r="AS25" s="103"/>
      <c r="AT25" s="102"/>
      <c r="AU25" s="103"/>
      <c r="AV25" s="102"/>
      <c r="AW25" s="103"/>
      <c r="AX25" s="102"/>
      <c r="AY25" s="103"/>
      <c r="AZ25" s="102"/>
      <c r="BA25" s="103"/>
      <c r="BB25" s="102"/>
      <c r="BC25" s="103"/>
      <c r="BD25" s="102"/>
      <c r="BE25" s="103"/>
      <c r="BF25" s="104">
        <f t="shared" si="7"/>
        <v>5</v>
      </c>
      <c r="BG25" s="109">
        <f t="shared" si="5"/>
        <v>17</v>
      </c>
      <c r="BH25" s="108">
        <v>17</v>
      </c>
      <c r="BI25" s="110">
        <f>+BH25-BG25</f>
        <v>0</v>
      </c>
    </row>
    <row r="26" spans="2:61" x14ac:dyDescent="0.25">
      <c r="C26" s="154" t="s">
        <v>120</v>
      </c>
      <c r="D26" s="106" t="s">
        <v>112</v>
      </c>
      <c r="E26" s="55" t="s">
        <v>113</v>
      </c>
      <c r="F26" s="71">
        <v>15485</v>
      </c>
      <c r="G26" s="71" t="s">
        <v>114</v>
      </c>
      <c r="H26" s="58" t="s">
        <v>29</v>
      </c>
      <c r="I26" s="58" t="s">
        <v>115</v>
      </c>
      <c r="J26" s="59" t="s">
        <v>110</v>
      </c>
      <c r="K26" s="59" t="s">
        <v>121</v>
      </c>
      <c r="L26" s="60" t="s">
        <v>117</v>
      </c>
      <c r="M26" s="107" t="s">
        <v>41</v>
      </c>
      <c r="N26" s="108">
        <v>19</v>
      </c>
      <c r="O26" s="48"/>
      <c r="P26" s="48"/>
      <c r="Q26" s="37">
        <f t="shared" si="6"/>
        <v>19</v>
      </c>
      <c r="R26" s="37"/>
      <c r="S26" s="100"/>
      <c r="T26" s="101"/>
      <c r="U26" s="101"/>
      <c r="V26" s="102"/>
      <c r="W26" s="103"/>
      <c r="X26" s="102"/>
      <c r="Y26" s="103"/>
      <c r="Z26" s="102"/>
      <c r="AA26" s="103"/>
      <c r="AB26" s="102"/>
      <c r="AC26" s="103"/>
      <c r="AD26" s="102"/>
      <c r="AE26" s="103"/>
      <c r="AF26" s="102"/>
      <c r="AG26" s="103"/>
      <c r="AH26" s="102"/>
      <c r="AI26" s="103"/>
      <c r="AJ26" s="102"/>
      <c r="AK26" s="103"/>
      <c r="AL26" s="102"/>
      <c r="AM26" s="103"/>
      <c r="AN26" s="102"/>
      <c r="AO26" s="103"/>
      <c r="AP26" s="102"/>
      <c r="AQ26" s="103"/>
      <c r="AR26" s="102"/>
      <c r="AS26" s="103"/>
      <c r="AT26" s="102"/>
      <c r="AU26" s="103"/>
      <c r="AV26" s="102"/>
      <c r="AW26" s="103"/>
      <c r="AX26" s="102"/>
      <c r="AY26" s="103"/>
      <c r="AZ26" s="102"/>
      <c r="BA26" s="103"/>
      <c r="BB26" s="102"/>
      <c r="BC26" s="103"/>
      <c r="BD26" s="102"/>
      <c r="BE26" s="103"/>
      <c r="BF26" s="104">
        <f t="shared" si="7"/>
        <v>0</v>
      </c>
      <c r="BG26" s="109">
        <f t="shared" si="5"/>
        <v>19</v>
      </c>
      <c r="BH26" s="108">
        <v>19</v>
      </c>
      <c r="BI26" s="110">
        <f>+BH26-BG26</f>
        <v>0</v>
      </c>
    </row>
    <row r="27" spans="2:61" x14ac:dyDescent="0.25">
      <c r="C27" s="154" t="s">
        <v>122</v>
      </c>
      <c r="D27" s="106" t="s">
        <v>112</v>
      </c>
      <c r="E27" s="55" t="s">
        <v>113</v>
      </c>
      <c r="F27" s="71">
        <v>15485</v>
      </c>
      <c r="G27" s="71" t="s">
        <v>114</v>
      </c>
      <c r="H27" s="58" t="s">
        <v>29</v>
      </c>
      <c r="I27" s="58" t="s">
        <v>115</v>
      </c>
      <c r="J27" s="59" t="s">
        <v>110</v>
      </c>
      <c r="K27" s="59" t="s">
        <v>123</v>
      </c>
      <c r="L27" s="60" t="s">
        <v>117</v>
      </c>
      <c r="M27" s="107" t="s">
        <v>41</v>
      </c>
      <c r="N27" s="108">
        <v>14</v>
      </c>
      <c r="O27" s="48"/>
      <c r="P27" s="48"/>
      <c r="Q27" s="37">
        <f t="shared" si="6"/>
        <v>14</v>
      </c>
      <c r="R27" s="37"/>
      <c r="S27" s="100"/>
      <c r="T27" s="101"/>
      <c r="U27" s="101"/>
      <c r="V27" s="102">
        <v>5</v>
      </c>
      <c r="W27" s="103">
        <v>25978</v>
      </c>
      <c r="X27" s="102">
        <v>4</v>
      </c>
      <c r="Y27" s="103">
        <v>26020</v>
      </c>
      <c r="Z27" s="102"/>
      <c r="AA27" s="103"/>
      <c r="AB27" s="102"/>
      <c r="AC27" s="103"/>
      <c r="AD27" s="102"/>
      <c r="AE27" s="103"/>
      <c r="AF27" s="102"/>
      <c r="AG27" s="103"/>
      <c r="AH27" s="102"/>
      <c r="AI27" s="103"/>
      <c r="AJ27" s="102"/>
      <c r="AK27" s="103"/>
      <c r="AL27" s="102"/>
      <c r="AM27" s="103"/>
      <c r="AN27" s="102"/>
      <c r="AO27" s="103"/>
      <c r="AP27" s="102"/>
      <c r="AQ27" s="103"/>
      <c r="AR27" s="102"/>
      <c r="AS27" s="103"/>
      <c r="AT27" s="102"/>
      <c r="AU27" s="103"/>
      <c r="AV27" s="102"/>
      <c r="AW27" s="103"/>
      <c r="AX27" s="102"/>
      <c r="AY27" s="103"/>
      <c r="AZ27" s="102"/>
      <c r="BA27" s="103"/>
      <c r="BB27" s="102"/>
      <c r="BC27" s="103"/>
      <c r="BD27" s="102"/>
      <c r="BE27" s="103"/>
      <c r="BF27" s="104">
        <f t="shared" si="7"/>
        <v>9</v>
      </c>
      <c r="BG27" s="109">
        <f t="shared" si="5"/>
        <v>5</v>
      </c>
      <c r="BH27" s="108">
        <v>5</v>
      </c>
      <c r="BI27" s="110">
        <f>+BH27-BG27</f>
        <v>0</v>
      </c>
    </row>
    <row r="28" spans="2:61" x14ac:dyDescent="0.25">
      <c r="C28" s="154" t="s">
        <v>127</v>
      </c>
      <c r="D28" s="106" t="s">
        <v>101</v>
      </c>
      <c r="E28" s="55" t="s">
        <v>124</v>
      </c>
      <c r="F28" s="112">
        <v>15552</v>
      </c>
      <c r="G28" s="71">
        <v>17169</v>
      </c>
      <c r="H28" s="58" t="s">
        <v>29</v>
      </c>
      <c r="I28" s="58" t="s">
        <v>125</v>
      </c>
      <c r="J28" s="59" t="s">
        <v>105</v>
      </c>
      <c r="K28" s="59" t="s">
        <v>128</v>
      </c>
      <c r="L28" s="59" t="s">
        <v>126</v>
      </c>
      <c r="M28" s="107" t="s">
        <v>41</v>
      </c>
      <c r="N28" s="113">
        <v>1</v>
      </c>
      <c r="O28" s="48"/>
      <c r="P28" s="48"/>
      <c r="Q28" s="37">
        <f t="shared" si="6"/>
        <v>1</v>
      </c>
      <c r="R28" s="37"/>
      <c r="S28" s="100"/>
      <c r="T28" s="101"/>
      <c r="U28" s="101"/>
      <c r="V28" s="102"/>
      <c r="W28" s="103"/>
      <c r="X28" s="102"/>
      <c r="Y28" s="103"/>
      <c r="Z28" s="102"/>
      <c r="AA28" s="103"/>
      <c r="AB28" s="102"/>
      <c r="AC28" s="103"/>
      <c r="AD28" s="102"/>
      <c r="AE28" s="103"/>
      <c r="AF28" s="102"/>
      <c r="AG28" s="103"/>
      <c r="AH28" s="102"/>
      <c r="AI28" s="103"/>
      <c r="AJ28" s="102"/>
      <c r="AK28" s="103"/>
      <c r="AL28" s="102"/>
      <c r="AM28" s="103"/>
      <c r="AN28" s="102"/>
      <c r="AO28" s="103"/>
      <c r="AP28" s="102"/>
      <c r="AQ28" s="103"/>
      <c r="AR28" s="102"/>
      <c r="AS28" s="103"/>
      <c r="AT28" s="102"/>
      <c r="AU28" s="103"/>
      <c r="AV28" s="102"/>
      <c r="AW28" s="103"/>
      <c r="AX28" s="102"/>
      <c r="AY28" s="103"/>
      <c r="AZ28" s="102"/>
      <c r="BA28" s="103"/>
      <c r="BB28" s="102"/>
      <c r="BC28" s="103"/>
      <c r="BD28" s="102"/>
      <c r="BE28" s="103"/>
      <c r="BF28" s="104">
        <f t="shared" si="7"/>
        <v>0</v>
      </c>
      <c r="BG28" s="109">
        <f t="shared" si="5"/>
        <v>1</v>
      </c>
      <c r="BH28" s="113">
        <v>1</v>
      </c>
      <c r="BI28" s="110">
        <f>+BH28-BG28</f>
        <v>0</v>
      </c>
    </row>
    <row r="29" spans="2:61" x14ac:dyDescent="0.25">
      <c r="C29" s="154" t="s">
        <v>129</v>
      </c>
      <c r="D29" s="106" t="s">
        <v>130</v>
      </c>
      <c r="E29" s="55" t="s">
        <v>124</v>
      </c>
      <c r="F29" s="112">
        <v>15553</v>
      </c>
      <c r="G29" s="71">
        <v>17151</v>
      </c>
      <c r="H29" s="58" t="s">
        <v>29</v>
      </c>
      <c r="I29" s="58" t="s">
        <v>131</v>
      </c>
      <c r="J29" s="59" t="s">
        <v>105</v>
      </c>
      <c r="K29" s="59" t="s">
        <v>132</v>
      </c>
      <c r="L29" s="59" t="s">
        <v>133</v>
      </c>
      <c r="M29" s="107" t="s">
        <v>41</v>
      </c>
      <c r="N29" s="113">
        <v>4</v>
      </c>
      <c r="O29" s="48"/>
      <c r="P29" s="48"/>
      <c r="Q29" s="37">
        <f t="shared" si="6"/>
        <v>4</v>
      </c>
      <c r="R29" s="37"/>
      <c r="S29" s="100"/>
      <c r="T29" s="101"/>
      <c r="U29" s="101"/>
      <c r="V29" s="102"/>
      <c r="W29" s="103"/>
      <c r="X29" s="102"/>
      <c r="Y29" s="103"/>
      <c r="Z29" s="102"/>
      <c r="AA29" s="103"/>
      <c r="AB29" s="102"/>
      <c r="AC29" s="103"/>
      <c r="AD29" s="102"/>
      <c r="AE29" s="103"/>
      <c r="AF29" s="102"/>
      <c r="AG29" s="103"/>
      <c r="AH29" s="102"/>
      <c r="AI29" s="103"/>
      <c r="AJ29" s="102"/>
      <c r="AK29" s="103"/>
      <c r="AL29" s="102"/>
      <c r="AM29" s="103"/>
      <c r="AN29" s="102"/>
      <c r="AO29" s="103"/>
      <c r="AP29" s="102"/>
      <c r="AQ29" s="103"/>
      <c r="AR29" s="102"/>
      <c r="AS29" s="103"/>
      <c r="AT29" s="102"/>
      <c r="AU29" s="103"/>
      <c r="AV29" s="102"/>
      <c r="AW29" s="103"/>
      <c r="AX29" s="102"/>
      <c r="AY29" s="103"/>
      <c r="AZ29" s="102"/>
      <c r="BA29" s="103"/>
      <c r="BB29" s="102"/>
      <c r="BC29" s="103"/>
      <c r="BD29" s="102"/>
      <c r="BE29" s="103"/>
      <c r="BF29" s="104">
        <f t="shared" si="7"/>
        <v>0</v>
      </c>
      <c r="BG29" s="109">
        <f t="shared" si="5"/>
        <v>4</v>
      </c>
      <c r="BH29" s="113">
        <v>4</v>
      </c>
      <c r="BI29" s="110">
        <f>+BH29-BG29</f>
        <v>0</v>
      </c>
    </row>
    <row r="30" spans="2:61" x14ac:dyDescent="0.25">
      <c r="C30" s="154" t="s">
        <v>134</v>
      </c>
      <c r="D30" s="106" t="s">
        <v>100</v>
      </c>
      <c r="E30" s="55" t="s">
        <v>124</v>
      </c>
      <c r="F30" s="112">
        <v>15553</v>
      </c>
      <c r="G30" s="71">
        <v>17151</v>
      </c>
      <c r="H30" s="58" t="s">
        <v>29</v>
      </c>
      <c r="I30" s="58" t="s">
        <v>131</v>
      </c>
      <c r="J30" s="59" t="s">
        <v>105</v>
      </c>
      <c r="K30" s="59" t="s">
        <v>135</v>
      </c>
      <c r="L30" s="59" t="s">
        <v>133</v>
      </c>
      <c r="M30" s="107" t="s">
        <v>41</v>
      </c>
      <c r="N30" s="113">
        <v>8</v>
      </c>
      <c r="O30" s="48"/>
      <c r="P30" s="48"/>
      <c r="Q30" s="37">
        <f t="shared" si="6"/>
        <v>8</v>
      </c>
      <c r="R30" s="37"/>
      <c r="S30" s="100"/>
      <c r="T30" s="101"/>
      <c r="U30" s="101"/>
      <c r="V30" s="102"/>
      <c r="W30" s="103"/>
      <c r="X30" s="102"/>
      <c r="Y30" s="103"/>
      <c r="Z30" s="102"/>
      <c r="AA30" s="103"/>
      <c r="AB30" s="102"/>
      <c r="AC30" s="103"/>
      <c r="AD30" s="102"/>
      <c r="AE30" s="103"/>
      <c r="AF30" s="102"/>
      <c r="AG30" s="103"/>
      <c r="AH30" s="102"/>
      <c r="AI30" s="103"/>
      <c r="AJ30" s="102"/>
      <c r="AK30" s="103"/>
      <c r="AL30" s="102"/>
      <c r="AM30" s="103"/>
      <c r="AN30" s="102"/>
      <c r="AO30" s="103"/>
      <c r="AP30" s="102"/>
      <c r="AQ30" s="103"/>
      <c r="AR30" s="102"/>
      <c r="AS30" s="103"/>
      <c r="AT30" s="102"/>
      <c r="AU30" s="103"/>
      <c r="AV30" s="102"/>
      <c r="AW30" s="103"/>
      <c r="AX30" s="102"/>
      <c r="AY30" s="103"/>
      <c r="AZ30" s="102"/>
      <c r="BA30" s="103"/>
      <c r="BB30" s="102"/>
      <c r="BC30" s="103"/>
      <c r="BD30" s="102"/>
      <c r="BE30" s="103"/>
      <c r="BF30" s="104">
        <f t="shared" si="7"/>
        <v>0</v>
      </c>
      <c r="BG30" s="109">
        <f t="shared" si="5"/>
        <v>8</v>
      </c>
      <c r="BH30" s="113">
        <v>8</v>
      </c>
      <c r="BI30" s="110">
        <f>+BH30-BG30</f>
        <v>0</v>
      </c>
    </row>
    <row r="31" spans="2:61" x14ac:dyDescent="0.25">
      <c r="C31" s="154" t="s">
        <v>136</v>
      </c>
      <c r="D31" s="106" t="s">
        <v>100</v>
      </c>
      <c r="E31" s="55" t="s">
        <v>124</v>
      </c>
      <c r="F31" s="112">
        <v>15553</v>
      </c>
      <c r="G31" s="71">
        <v>17151</v>
      </c>
      <c r="H31" s="58" t="s">
        <v>29</v>
      </c>
      <c r="I31" s="58" t="s">
        <v>131</v>
      </c>
      <c r="J31" s="59" t="s">
        <v>105</v>
      </c>
      <c r="K31" s="59" t="s">
        <v>109</v>
      </c>
      <c r="L31" s="59" t="s">
        <v>133</v>
      </c>
      <c r="M31" s="107" t="s">
        <v>41</v>
      </c>
      <c r="N31" s="114">
        <v>3</v>
      </c>
      <c r="O31" s="48"/>
      <c r="P31" s="48"/>
      <c r="Q31" s="37">
        <f t="shared" si="6"/>
        <v>3</v>
      </c>
      <c r="R31" s="37"/>
      <c r="S31" s="100"/>
      <c r="T31" s="101"/>
      <c r="U31" s="101"/>
      <c r="V31" s="102">
        <v>1</v>
      </c>
      <c r="W31" s="103">
        <v>25917</v>
      </c>
      <c r="X31" s="102">
        <v>2</v>
      </c>
      <c r="Y31" s="103">
        <v>25924</v>
      </c>
      <c r="Z31" s="102"/>
      <c r="AA31" s="103"/>
      <c r="AB31" s="102"/>
      <c r="AC31" s="103"/>
      <c r="AD31" s="102"/>
      <c r="AE31" s="103"/>
      <c r="AF31" s="102"/>
      <c r="AG31" s="103"/>
      <c r="AH31" s="102"/>
      <c r="AI31" s="103"/>
      <c r="AJ31" s="102"/>
      <c r="AK31" s="103"/>
      <c r="AL31" s="102"/>
      <c r="AM31" s="103"/>
      <c r="AN31" s="102"/>
      <c r="AO31" s="103"/>
      <c r="AP31" s="102"/>
      <c r="AQ31" s="103"/>
      <c r="AR31" s="102"/>
      <c r="AS31" s="103"/>
      <c r="AT31" s="102"/>
      <c r="AU31" s="103"/>
      <c r="AV31" s="102"/>
      <c r="AW31" s="103"/>
      <c r="AX31" s="102"/>
      <c r="AY31" s="103"/>
      <c r="AZ31" s="102"/>
      <c r="BA31" s="103"/>
      <c r="BB31" s="102"/>
      <c r="BC31" s="103"/>
      <c r="BD31" s="102"/>
      <c r="BE31" s="103"/>
      <c r="BF31" s="104">
        <f t="shared" si="7"/>
        <v>3</v>
      </c>
      <c r="BG31" s="109">
        <f t="shared" si="5"/>
        <v>0</v>
      </c>
      <c r="BH31" s="114">
        <v>0</v>
      </c>
      <c r="BI31" s="110">
        <f>+BH31-BG31</f>
        <v>0</v>
      </c>
    </row>
    <row r="32" spans="2:61" x14ac:dyDescent="0.25">
      <c r="C32" s="154" t="s">
        <v>137</v>
      </c>
      <c r="D32" s="106" t="s">
        <v>101</v>
      </c>
      <c r="E32" s="55" t="s">
        <v>124</v>
      </c>
      <c r="F32" s="112">
        <v>15554</v>
      </c>
      <c r="G32" s="71">
        <v>17152</v>
      </c>
      <c r="H32" s="58" t="s">
        <v>29</v>
      </c>
      <c r="I32" s="58" t="s">
        <v>138</v>
      </c>
      <c r="J32" s="59" t="s">
        <v>105</v>
      </c>
      <c r="K32" s="59" t="s">
        <v>139</v>
      </c>
      <c r="L32" s="59" t="s">
        <v>133</v>
      </c>
      <c r="M32" s="107" t="s">
        <v>41</v>
      </c>
      <c r="N32" s="114">
        <v>1</v>
      </c>
      <c r="O32" s="48"/>
      <c r="P32" s="48"/>
      <c r="Q32" s="37">
        <f t="shared" si="6"/>
        <v>1</v>
      </c>
      <c r="R32" s="37"/>
      <c r="S32" s="100"/>
      <c r="T32" s="101"/>
      <c r="U32" s="101"/>
      <c r="V32" s="102"/>
      <c r="W32" s="103"/>
      <c r="X32" s="102"/>
      <c r="Y32" s="103"/>
      <c r="Z32" s="102"/>
      <c r="AA32" s="103"/>
      <c r="AB32" s="102"/>
      <c r="AC32" s="103"/>
      <c r="AD32" s="102"/>
      <c r="AE32" s="103"/>
      <c r="AF32" s="102"/>
      <c r="AG32" s="103"/>
      <c r="AH32" s="102"/>
      <c r="AI32" s="103"/>
      <c r="AJ32" s="102"/>
      <c r="AK32" s="103"/>
      <c r="AL32" s="102"/>
      <c r="AM32" s="103"/>
      <c r="AN32" s="102"/>
      <c r="AO32" s="103"/>
      <c r="AP32" s="102"/>
      <c r="AQ32" s="103"/>
      <c r="AR32" s="102"/>
      <c r="AS32" s="103"/>
      <c r="AT32" s="102"/>
      <c r="AU32" s="103"/>
      <c r="AV32" s="102"/>
      <c r="AW32" s="103"/>
      <c r="AX32" s="102"/>
      <c r="AY32" s="103"/>
      <c r="AZ32" s="102"/>
      <c r="BA32" s="103"/>
      <c r="BB32" s="102"/>
      <c r="BC32" s="103"/>
      <c r="BD32" s="102"/>
      <c r="BE32" s="103"/>
      <c r="BF32" s="104">
        <f t="shared" si="7"/>
        <v>0</v>
      </c>
      <c r="BG32" s="109">
        <f t="shared" si="5"/>
        <v>1</v>
      </c>
      <c r="BH32" s="114">
        <v>1</v>
      </c>
      <c r="BI32" s="110">
        <f>+BH32-BG32</f>
        <v>0</v>
      </c>
    </row>
    <row r="33" spans="3:61" x14ac:dyDescent="0.25">
      <c r="C33" s="154" t="s">
        <v>140</v>
      </c>
      <c r="D33" s="106" t="s">
        <v>101</v>
      </c>
      <c r="E33" s="55" t="s">
        <v>124</v>
      </c>
      <c r="F33" s="112">
        <v>15554</v>
      </c>
      <c r="G33" s="71">
        <v>17152</v>
      </c>
      <c r="H33" s="58" t="s">
        <v>29</v>
      </c>
      <c r="I33" s="58" t="s">
        <v>138</v>
      </c>
      <c r="J33" s="59" t="s">
        <v>105</v>
      </c>
      <c r="K33" s="59" t="s">
        <v>141</v>
      </c>
      <c r="L33" s="59" t="s">
        <v>133</v>
      </c>
      <c r="M33" s="107" t="s">
        <v>41</v>
      </c>
      <c r="N33" s="113">
        <v>2</v>
      </c>
      <c r="O33" s="48"/>
      <c r="P33" s="48"/>
      <c r="Q33" s="37">
        <f t="shared" si="6"/>
        <v>2</v>
      </c>
      <c r="R33" s="37"/>
      <c r="S33" s="100"/>
      <c r="T33" s="101"/>
      <c r="U33" s="101"/>
      <c r="V33" s="102"/>
      <c r="W33" s="103"/>
      <c r="X33" s="102"/>
      <c r="Y33" s="103"/>
      <c r="Z33" s="102"/>
      <c r="AA33" s="103"/>
      <c r="AB33" s="102"/>
      <c r="AC33" s="103"/>
      <c r="AD33" s="102"/>
      <c r="AE33" s="103"/>
      <c r="AF33" s="102"/>
      <c r="AG33" s="103"/>
      <c r="AH33" s="102"/>
      <c r="AI33" s="103"/>
      <c r="AJ33" s="102"/>
      <c r="AK33" s="103"/>
      <c r="AL33" s="102"/>
      <c r="AM33" s="103"/>
      <c r="AN33" s="102"/>
      <c r="AO33" s="103"/>
      <c r="AP33" s="102"/>
      <c r="AQ33" s="103"/>
      <c r="AR33" s="102"/>
      <c r="AS33" s="103"/>
      <c r="AT33" s="102"/>
      <c r="AU33" s="103"/>
      <c r="AV33" s="102"/>
      <c r="AW33" s="103"/>
      <c r="AX33" s="102"/>
      <c r="AY33" s="103"/>
      <c r="AZ33" s="102"/>
      <c r="BA33" s="103"/>
      <c r="BB33" s="102"/>
      <c r="BC33" s="103"/>
      <c r="BD33" s="102"/>
      <c r="BE33" s="103"/>
      <c r="BF33" s="104">
        <f t="shared" si="7"/>
        <v>0</v>
      </c>
      <c r="BG33" s="109">
        <f t="shared" si="5"/>
        <v>2</v>
      </c>
      <c r="BH33" s="113">
        <v>2</v>
      </c>
      <c r="BI33" s="110">
        <f>+BH33-BG33</f>
        <v>0</v>
      </c>
    </row>
    <row r="34" spans="3:61" x14ac:dyDescent="0.25">
      <c r="C34" s="154" t="s">
        <v>142</v>
      </c>
      <c r="D34" s="106" t="s">
        <v>100</v>
      </c>
      <c r="E34" s="55" t="s">
        <v>124</v>
      </c>
      <c r="F34" s="112">
        <v>15554</v>
      </c>
      <c r="G34" s="71">
        <v>17152</v>
      </c>
      <c r="H34" s="58" t="s">
        <v>29</v>
      </c>
      <c r="I34" s="58" t="s">
        <v>138</v>
      </c>
      <c r="J34" s="59" t="s">
        <v>105</v>
      </c>
      <c r="K34" s="59" t="s">
        <v>143</v>
      </c>
      <c r="L34" s="59" t="s">
        <v>133</v>
      </c>
      <c r="M34" s="107" t="s">
        <v>41</v>
      </c>
      <c r="N34" s="113">
        <v>1</v>
      </c>
      <c r="O34" s="48"/>
      <c r="P34" s="48"/>
      <c r="Q34" s="37">
        <f t="shared" si="6"/>
        <v>1</v>
      </c>
      <c r="R34" s="37"/>
      <c r="S34" s="100"/>
      <c r="T34" s="101"/>
      <c r="U34" s="101"/>
      <c r="V34" s="102">
        <v>1</v>
      </c>
      <c r="W34" s="103">
        <v>25934</v>
      </c>
      <c r="X34" s="102"/>
      <c r="Y34" s="103"/>
      <c r="Z34" s="102"/>
      <c r="AA34" s="103"/>
      <c r="AB34" s="102"/>
      <c r="AC34" s="103"/>
      <c r="AD34" s="102"/>
      <c r="AE34" s="103"/>
      <c r="AF34" s="102"/>
      <c r="AG34" s="103"/>
      <c r="AH34" s="102"/>
      <c r="AI34" s="103"/>
      <c r="AJ34" s="102"/>
      <c r="AK34" s="103"/>
      <c r="AL34" s="102"/>
      <c r="AM34" s="103"/>
      <c r="AN34" s="102"/>
      <c r="AO34" s="103"/>
      <c r="AP34" s="102"/>
      <c r="AQ34" s="103"/>
      <c r="AR34" s="102"/>
      <c r="AS34" s="103"/>
      <c r="AT34" s="102"/>
      <c r="AU34" s="103"/>
      <c r="AV34" s="102"/>
      <c r="AW34" s="103"/>
      <c r="AX34" s="102"/>
      <c r="AY34" s="103"/>
      <c r="AZ34" s="102"/>
      <c r="BA34" s="103"/>
      <c r="BB34" s="102"/>
      <c r="BC34" s="103"/>
      <c r="BD34" s="102"/>
      <c r="BE34" s="103"/>
      <c r="BF34" s="104">
        <f t="shared" si="7"/>
        <v>1</v>
      </c>
      <c r="BG34" s="109">
        <f t="shared" si="5"/>
        <v>0</v>
      </c>
      <c r="BH34" s="114">
        <v>0</v>
      </c>
      <c r="BI34" s="110">
        <f>+BH34-BG34</f>
        <v>0</v>
      </c>
    </row>
    <row r="35" spans="3:61" x14ac:dyDescent="0.25">
      <c r="C35" s="154" t="s">
        <v>144</v>
      </c>
      <c r="D35" s="106" t="s">
        <v>101</v>
      </c>
      <c r="E35" s="55" t="s">
        <v>145</v>
      </c>
      <c r="F35" s="112">
        <v>15556</v>
      </c>
      <c r="G35" s="71">
        <v>17147</v>
      </c>
      <c r="H35" s="58" t="s">
        <v>29</v>
      </c>
      <c r="I35" s="58" t="s">
        <v>146</v>
      </c>
      <c r="J35" s="59" t="s">
        <v>147</v>
      </c>
      <c r="K35" s="59" t="s">
        <v>148</v>
      </c>
      <c r="L35" s="59" t="s">
        <v>107</v>
      </c>
      <c r="M35" s="107" t="s">
        <v>41</v>
      </c>
      <c r="N35" s="113">
        <v>1</v>
      </c>
      <c r="O35" s="48"/>
      <c r="P35" s="48"/>
      <c r="Q35" s="37">
        <f t="shared" si="6"/>
        <v>1</v>
      </c>
      <c r="R35" s="37"/>
      <c r="S35" s="100"/>
      <c r="T35" s="101"/>
      <c r="U35" s="101"/>
      <c r="V35" s="102">
        <v>1</v>
      </c>
      <c r="W35" s="103">
        <v>25983</v>
      </c>
      <c r="X35" s="102"/>
      <c r="Y35" s="103"/>
      <c r="Z35" s="102"/>
      <c r="AA35" s="103"/>
      <c r="AB35" s="102"/>
      <c r="AC35" s="103"/>
      <c r="AD35" s="102"/>
      <c r="AE35" s="103"/>
      <c r="AF35" s="102"/>
      <c r="AG35" s="103"/>
      <c r="AH35" s="102"/>
      <c r="AI35" s="103"/>
      <c r="AJ35" s="102"/>
      <c r="AK35" s="103"/>
      <c r="AL35" s="102"/>
      <c r="AM35" s="103"/>
      <c r="AN35" s="102"/>
      <c r="AO35" s="103"/>
      <c r="AP35" s="102"/>
      <c r="AQ35" s="103"/>
      <c r="AR35" s="102"/>
      <c r="AS35" s="103"/>
      <c r="AT35" s="102"/>
      <c r="AU35" s="103"/>
      <c r="AV35" s="102"/>
      <c r="AW35" s="103"/>
      <c r="AX35" s="102"/>
      <c r="AY35" s="103"/>
      <c r="AZ35" s="102"/>
      <c r="BA35" s="103"/>
      <c r="BB35" s="102"/>
      <c r="BC35" s="103"/>
      <c r="BD35" s="102"/>
      <c r="BE35" s="103"/>
      <c r="BF35" s="104">
        <f t="shared" si="7"/>
        <v>1</v>
      </c>
      <c r="BG35" s="109">
        <f t="shared" si="5"/>
        <v>0</v>
      </c>
      <c r="BH35" s="114">
        <v>0</v>
      </c>
      <c r="BI35" s="110">
        <f>+BH35-BG35</f>
        <v>0</v>
      </c>
    </row>
    <row r="36" spans="3:61" x14ac:dyDescent="0.25">
      <c r="C36" s="154"/>
      <c r="D36" s="106"/>
      <c r="E36" s="55" t="s">
        <v>145</v>
      </c>
      <c r="F36" s="112">
        <v>15556</v>
      </c>
      <c r="G36" s="71">
        <v>17147</v>
      </c>
      <c r="H36" s="58" t="s">
        <v>29</v>
      </c>
      <c r="I36" s="58" t="s">
        <v>146</v>
      </c>
      <c r="J36" s="59" t="s">
        <v>147</v>
      </c>
      <c r="K36" s="59" t="s">
        <v>149</v>
      </c>
      <c r="L36" s="59" t="s">
        <v>107</v>
      </c>
      <c r="M36" s="107">
        <v>0</v>
      </c>
      <c r="N36" s="115">
        <v>0</v>
      </c>
      <c r="O36" s="48"/>
      <c r="P36" s="48"/>
      <c r="Q36" s="37">
        <f t="shared" si="6"/>
        <v>0</v>
      </c>
      <c r="R36" s="37"/>
      <c r="S36" s="100"/>
      <c r="T36" s="101"/>
      <c r="U36" s="101"/>
      <c r="V36" s="102"/>
      <c r="W36" s="103"/>
      <c r="X36" s="102"/>
      <c r="Y36" s="103"/>
      <c r="Z36" s="102"/>
      <c r="AA36" s="103"/>
      <c r="AB36" s="102"/>
      <c r="AC36" s="103"/>
      <c r="AD36" s="102"/>
      <c r="AE36" s="103"/>
      <c r="AF36" s="102"/>
      <c r="AG36" s="103"/>
      <c r="AH36" s="102"/>
      <c r="AI36" s="103"/>
      <c r="AJ36" s="102"/>
      <c r="AK36" s="103"/>
      <c r="AL36" s="102"/>
      <c r="AM36" s="103"/>
      <c r="AN36" s="102"/>
      <c r="AO36" s="103"/>
      <c r="AP36" s="102"/>
      <c r="AQ36" s="103"/>
      <c r="AR36" s="102"/>
      <c r="AS36" s="103"/>
      <c r="AT36" s="102"/>
      <c r="AU36" s="103"/>
      <c r="AV36" s="102"/>
      <c r="AW36" s="103"/>
      <c r="AX36" s="102"/>
      <c r="AY36" s="103"/>
      <c r="AZ36" s="102"/>
      <c r="BA36" s="103"/>
      <c r="BB36" s="102"/>
      <c r="BC36" s="103"/>
      <c r="BD36" s="102"/>
      <c r="BE36" s="103"/>
      <c r="BF36" s="104">
        <f t="shared" si="7"/>
        <v>0</v>
      </c>
      <c r="BG36" s="109">
        <f t="shared" si="5"/>
        <v>0</v>
      </c>
      <c r="BH36" s="115">
        <v>0</v>
      </c>
      <c r="BI36" s="110">
        <f>+BH36-BG36</f>
        <v>0</v>
      </c>
    </row>
    <row r="37" spans="3:61" x14ac:dyDescent="0.25">
      <c r="C37" s="154" t="s">
        <v>150</v>
      </c>
      <c r="D37" s="116" t="s">
        <v>102</v>
      </c>
      <c r="E37" s="55" t="s">
        <v>145</v>
      </c>
      <c r="F37" s="112">
        <v>15557</v>
      </c>
      <c r="G37" s="71">
        <v>17130</v>
      </c>
      <c r="H37" s="58" t="s">
        <v>29</v>
      </c>
      <c r="I37" s="58" t="s">
        <v>151</v>
      </c>
      <c r="J37" s="59" t="s">
        <v>106</v>
      </c>
      <c r="K37" s="59" t="s">
        <v>152</v>
      </c>
      <c r="L37" s="59" t="s">
        <v>108</v>
      </c>
      <c r="M37" s="107" t="s">
        <v>41</v>
      </c>
      <c r="N37" s="114">
        <v>30</v>
      </c>
      <c r="O37" s="48"/>
      <c r="P37" s="48"/>
      <c r="Q37" s="37">
        <f t="shared" si="6"/>
        <v>30</v>
      </c>
      <c r="R37" s="37"/>
      <c r="S37" s="100"/>
      <c r="T37" s="101"/>
      <c r="U37" s="101"/>
      <c r="V37" s="102"/>
      <c r="W37" s="103"/>
      <c r="X37" s="102"/>
      <c r="Y37" s="103"/>
      <c r="Z37" s="102"/>
      <c r="AA37" s="103"/>
      <c r="AB37" s="102"/>
      <c r="AC37" s="103"/>
      <c r="AD37" s="102"/>
      <c r="AE37" s="103"/>
      <c r="AF37" s="102"/>
      <c r="AG37" s="103"/>
      <c r="AH37" s="102"/>
      <c r="AI37" s="103"/>
      <c r="AJ37" s="102"/>
      <c r="AK37" s="103"/>
      <c r="AL37" s="102"/>
      <c r="AM37" s="103"/>
      <c r="AN37" s="102"/>
      <c r="AO37" s="103"/>
      <c r="AP37" s="102"/>
      <c r="AQ37" s="103"/>
      <c r="AR37" s="102"/>
      <c r="AS37" s="103"/>
      <c r="AT37" s="102"/>
      <c r="AU37" s="103"/>
      <c r="AV37" s="102"/>
      <c r="AW37" s="103"/>
      <c r="AX37" s="102"/>
      <c r="AY37" s="103"/>
      <c r="AZ37" s="102"/>
      <c r="BA37" s="103"/>
      <c r="BB37" s="102"/>
      <c r="BC37" s="103"/>
      <c r="BD37" s="102"/>
      <c r="BE37" s="103"/>
      <c r="BF37" s="104">
        <f t="shared" si="7"/>
        <v>0</v>
      </c>
      <c r="BG37" s="109">
        <f t="shared" si="5"/>
        <v>30</v>
      </c>
      <c r="BH37" s="114">
        <v>30</v>
      </c>
      <c r="BI37" s="110">
        <f>+BH37-BG37</f>
        <v>0</v>
      </c>
    </row>
    <row r="38" spans="3:61" x14ac:dyDescent="0.25">
      <c r="C38" s="154"/>
      <c r="D38" s="116" t="s">
        <v>102</v>
      </c>
      <c r="E38" s="55" t="s">
        <v>145</v>
      </c>
      <c r="F38" s="112">
        <v>15557</v>
      </c>
      <c r="G38" s="71">
        <v>17130</v>
      </c>
      <c r="H38" s="58" t="s">
        <v>29</v>
      </c>
      <c r="I38" s="58" t="s">
        <v>151</v>
      </c>
      <c r="J38" s="59" t="s">
        <v>106</v>
      </c>
      <c r="K38" s="59" t="s">
        <v>153</v>
      </c>
      <c r="L38" s="59" t="s">
        <v>108</v>
      </c>
      <c r="M38" s="107">
        <v>0</v>
      </c>
      <c r="N38" s="108">
        <v>0</v>
      </c>
      <c r="O38" s="48"/>
      <c r="P38" s="48"/>
      <c r="Q38" s="37">
        <f t="shared" si="6"/>
        <v>0</v>
      </c>
      <c r="R38" s="37"/>
      <c r="S38" s="100"/>
      <c r="T38" s="101"/>
      <c r="U38" s="101"/>
      <c r="V38" s="102"/>
      <c r="W38" s="103"/>
      <c r="X38" s="102"/>
      <c r="Y38" s="103"/>
      <c r="Z38" s="102"/>
      <c r="AA38" s="103"/>
      <c r="AB38" s="102"/>
      <c r="AC38" s="103"/>
      <c r="AD38" s="102"/>
      <c r="AE38" s="103"/>
      <c r="AF38" s="102"/>
      <c r="AG38" s="103"/>
      <c r="AH38" s="102"/>
      <c r="AI38" s="103"/>
      <c r="AJ38" s="102"/>
      <c r="AK38" s="103"/>
      <c r="AL38" s="102"/>
      <c r="AM38" s="103"/>
      <c r="AN38" s="102"/>
      <c r="AO38" s="103"/>
      <c r="AP38" s="102"/>
      <c r="AQ38" s="103"/>
      <c r="AR38" s="102"/>
      <c r="AS38" s="103"/>
      <c r="AT38" s="102"/>
      <c r="AU38" s="103"/>
      <c r="AV38" s="102"/>
      <c r="AW38" s="103"/>
      <c r="AX38" s="102"/>
      <c r="AY38" s="103"/>
      <c r="AZ38" s="102"/>
      <c r="BA38" s="103"/>
      <c r="BB38" s="102"/>
      <c r="BC38" s="103"/>
      <c r="BD38" s="102"/>
      <c r="BE38" s="103"/>
      <c r="BF38" s="104">
        <f t="shared" si="7"/>
        <v>0</v>
      </c>
      <c r="BG38" s="109">
        <f t="shared" si="5"/>
        <v>0</v>
      </c>
      <c r="BH38" s="108">
        <v>0</v>
      </c>
      <c r="BI38" s="110">
        <f>+BH38-BG38</f>
        <v>0</v>
      </c>
    </row>
    <row r="40" spans="3:61" ht="15.75" thickBot="1" x14ac:dyDescent="0.3">
      <c r="C40" s="148" t="s">
        <v>154</v>
      </c>
    </row>
    <row r="41" spans="3:61" ht="19.5" thickBot="1" x14ac:dyDescent="0.35">
      <c r="C41" s="118" t="s">
        <v>0</v>
      </c>
      <c r="D41" s="119"/>
      <c r="E41" s="119"/>
      <c r="F41" s="119"/>
      <c r="G41" s="119"/>
      <c r="H41" s="119"/>
      <c r="I41" s="119"/>
      <c r="J41" s="119"/>
      <c r="K41" s="119"/>
      <c r="L41" s="119"/>
      <c r="M41" s="120"/>
      <c r="N41" s="119"/>
      <c r="O41" s="121" t="s">
        <v>155</v>
      </c>
      <c r="P41" s="122"/>
      <c r="Q41" s="121" t="s">
        <v>2</v>
      </c>
      <c r="R41" s="122"/>
      <c r="S41" s="121" t="s">
        <v>3</v>
      </c>
      <c r="T41" s="122"/>
      <c r="U41" s="123" t="s">
        <v>4</v>
      </c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5"/>
      <c r="AV41" s="121" t="s">
        <v>5</v>
      </c>
      <c r="AW41" s="126"/>
      <c r="AX41" s="122"/>
    </row>
    <row r="42" spans="3:61" ht="16.5" thickBot="1" x14ac:dyDescent="0.3">
      <c r="C42" s="127" t="s">
        <v>6</v>
      </c>
      <c r="D42" s="127" t="s">
        <v>7</v>
      </c>
      <c r="E42" s="127" t="s">
        <v>8</v>
      </c>
      <c r="F42" s="127" t="s">
        <v>9</v>
      </c>
      <c r="G42" s="127" t="s">
        <v>10</v>
      </c>
      <c r="H42" s="127" t="s">
        <v>11</v>
      </c>
      <c r="I42" s="127" t="s">
        <v>12</v>
      </c>
      <c r="J42" s="127" t="s">
        <v>13</v>
      </c>
      <c r="K42" s="127" t="s">
        <v>14</v>
      </c>
      <c r="L42" s="127" t="s">
        <v>86</v>
      </c>
      <c r="M42" s="128" t="s">
        <v>16</v>
      </c>
      <c r="N42" s="127" t="s">
        <v>17</v>
      </c>
      <c r="O42" s="127" t="s">
        <v>156</v>
      </c>
      <c r="P42" s="127" t="s">
        <v>19</v>
      </c>
      <c r="Q42" s="127" t="s">
        <v>20</v>
      </c>
      <c r="R42" s="127" t="s">
        <v>19</v>
      </c>
      <c r="S42" s="127" t="s">
        <v>21</v>
      </c>
      <c r="T42" s="129" t="s">
        <v>22</v>
      </c>
      <c r="U42" s="127" t="s">
        <v>20</v>
      </c>
      <c r="V42" s="130" t="s">
        <v>19</v>
      </c>
      <c r="W42" s="127" t="s">
        <v>20</v>
      </c>
      <c r="X42" s="130" t="s">
        <v>19</v>
      </c>
      <c r="Y42" s="127" t="s">
        <v>20</v>
      </c>
      <c r="Z42" s="130" t="s">
        <v>19</v>
      </c>
      <c r="AA42" s="127" t="s">
        <v>20</v>
      </c>
      <c r="AB42" s="130" t="s">
        <v>19</v>
      </c>
      <c r="AC42" s="127" t="s">
        <v>20</v>
      </c>
      <c r="AD42" s="130" t="s">
        <v>19</v>
      </c>
      <c r="AE42" s="127" t="s">
        <v>20</v>
      </c>
      <c r="AF42" s="130" t="s">
        <v>19</v>
      </c>
      <c r="AG42" s="127" t="s">
        <v>20</v>
      </c>
      <c r="AH42" s="130" t="s">
        <v>19</v>
      </c>
      <c r="AI42" s="127" t="s">
        <v>20</v>
      </c>
      <c r="AJ42" s="130" t="s">
        <v>19</v>
      </c>
      <c r="AK42" s="127" t="s">
        <v>20</v>
      </c>
      <c r="AL42" s="130" t="s">
        <v>19</v>
      </c>
      <c r="AM42" s="127" t="s">
        <v>20</v>
      </c>
      <c r="AN42" s="130" t="s">
        <v>19</v>
      </c>
      <c r="AO42" s="127" t="s">
        <v>20</v>
      </c>
      <c r="AP42" s="130" t="s">
        <v>19</v>
      </c>
      <c r="AQ42" s="127" t="s">
        <v>20</v>
      </c>
      <c r="AR42" s="130" t="s">
        <v>19</v>
      </c>
      <c r="AS42" s="127" t="s">
        <v>20</v>
      </c>
      <c r="AT42" s="130" t="s">
        <v>19</v>
      </c>
      <c r="AU42" s="127" t="s">
        <v>23</v>
      </c>
      <c r="AV42" s="127" t="s">
        <v>24</v>
      </c>
      <c r="AW42" s="127" t="s">
        <v>25</v>
      </c>
      <c r="AX42" s="127" t="s">
        <v>26</v>
      </c>
    </row>
    <row r="43" spans="3:61" x14ac:dyDescent="0.25">
      <c r="C43" s="131" t="s">
        <v>157</v>
      </c>
      <c r="D43" s="132"/>
      <c r="E43" s="67"/>
      <c r="F43" s="66"/>
      <c r="G43" s="66"/>
      <c r="H43" s="66"/>
      <c r="I43" s="66"/>
      <c r="J43" s="67"/>
      <c r="K43" s="67"/>
      <c r="L43" s="67"/>
      <c r="M43" s="133"/>
      <c r="N43" s="134">
        <v>0</v>
      </c>
      <c r="O43" s="91"/>
      <c r="P43" s="91"/>
      <c r="Q43" s="91">
        <f t="shared" ref="Q43:Q50" si="8">+N43+O43</f>
        <v>0</v>
      </c>
      <c r="R43" s="91"/>
      <c r="S43" s="91">
        <f t="shared" ref="S43:S50" si="9">+Q43</f>
        <v>0</v>
      </c>
      <c r="T43" s="135"/>
      <c r="U43" s="136"/>
      <c r="V43" s="137"/>
      <c r="W43" s="136"/>
      <c r="X43" s="137"/>
      <c r="Y43" s="136"/>
      <c r="Z43" s="137"/>
      <c r="AA43" s="136"/>
      <c r="AB43" s="137"/>
      <c r="AC43" s="136"/>
      <c r="AD43" s="137"/>
      <c r="AE43" s="136"/>
      <c r="AF43" s="137"/>
      <c r="AG43" s="136"/>
      <c r="AH43" s="137"/>
      <c r="AI43" s="136"/>
      <c r="AJ43" s="137"/>
      <c r="AK43" s="136"/>
      <c r="AL43" s="137"/>
      <c r="AM43" s="136"/>
      <c r="AN43" s="137"/>
      <c r="AO43" s="136"/>
      <c r="AP43" s="137"/>
      <c r="AQ43" s="136"/>
      <c r="AR43" s="137"/>
      <c r="AS43" s="136"/>
      <c r="AT43" s="137"/>
      <c r="AU43" s="134">
        <f>+AS43+AQ43+AO43+AM43+AK43+AI43+AG43+AE43+AC43+AA43+Y43+W43+U43</f>
        <v>0</v>
      </c>
      <c r="AV43" s="138">
        <f>+S43-AU43</f>
        <v>0</v>
      </c>
      <c r="AW43" s="134">
        <v>0</v>
      </c>
      <c r="AX43" s="138">
        <f t="shared" ref="AX43:AX50" si="10">+AW43-AV43</f>
        <v>0</v>
      </c>
    </row>
    <row r="44" spans="3:61" x14ac:dyDescent="0.25">
      <c r="C44" s="155" t="s">
        <v>158</v>
      </c>
      <c r="D44" s="139" t="s">
        <v>159</v>
      </c>
      <c r="E44" s="58" t="s">
        <v>160</v>
      </c>
      <c r="F44" s="58">
        <v>126</v>
      </c>
      <c r="G44" s="58">
        <v>1614</v>
      </c>
      <c r="H44" s="58" t="s">
        <v>29</v>
      </c>
      <c r="I44" s="58" t="s">
        <v>161</v>
      </c>
      <c r="J44" s="59" t="s">
        <v>103</v>
      </c>
      <c r="K44" s="59" t="s">
        <v>162</v>
      </c>
      <c r="L44" s="59" t="s">
        <v>163</v>
      </c>
      <c r="M44" s="140" t="s">
        <v>41</v>
      </c>
      <c r="N44" s="138">
        <v>2</v>
      </c>
      <c r="O44" s="99"/>
      <c r="P44" s="99"/>
      <c r="Q44" s="99">
        <f t="shared" si="8"/>
        <v>2</v>
      </c>
      <c r="R44" s="99"/>
      <c r="S44" s="99">
        <f t="shared" si="9"/>
        <v>2</v>
      </c>
      <c r="T44" s="141"/>
      <c r="U44" s="142"/>
      <c r="V44" s="143"/>
      <c r="W44" s="142"/>
      <c r="X44" s="143"/>
      <c r="Y44" s="142"/>
      <c r="Z44" s="143"/>
      <c r="AA44" s="142"/>
      <c r="AB44" s="143"/>
      <c r="AC44" s="142"/>
      <c r="AD44" s="143"/>
      <c r="AE44" s="142"/>
      <c r="AF44" s="143"/>
      <c r="AG44" s="142"/>
      <c r="AH44" s="143"/>
      <c r="AI44" s="142"/>
      <c r="AJ44" s="143"/>
      <c r="AK44" s="142"/>
      <c r="AL44" s="143"/>
      <c r="AM44" s="142"/>
      <c r="AN44" s="143"/>
      <c r="AO44" s="142"/>
      <c r="AP44" s="143"/>
      <c r="AQ44" s="142"/>
      <c r="AR44" s="143"/>
      <c r="AS44" s="142"/>
      <c r="AT44" s="143"/>
      <c r="AU44" s="138">
        <f>+AS44+AQ44+AO44+AM44+AK44+AI44+AG44+AE44+AC44+AA44+Y44+W44+U44</f>
        <v>0</v>
      </c>
      <c r="AV44" s="138">
        <f>+S44-AU44</f>
        <v>2</v>
      </c>
      <c r="AW44" s="138">
        <v>2</v>
      </c>
      <c r="AX44" s="138">
        <f t="shared" si="10"/>
        <v>0</v>
      </c>
    </row>
    <row r="45" spans="3:61" x14ac:dyDescent="0.25">
      <c r="C45" s="155" t="s">
        <v>164</v>
      </c>
      <c r="D45" s="139" t="s">
        <v>165</v>
      </c>
      <c r="E45" s="58" t="s">
        <v>160</v>
      </c>
      <c r="F45" s="58">
        <v>127</v>
      </c>
      <c r="G45" s="58">
        <v>1615</v>
      </c>
      <c r="H45" s="58" t="s">
        <v>29</v>
      </c>
      <c r="I45" s="58" t="s">
        <v>166</v>
      </c>
      <c r="J45" s="59" t="s">
        <v>103</v>
      </c>
      <c r="K45" s="59" t="s">
        <v>167</v>
      </c>
      <c r="L45" s="59" t="s">
        <v>163</v>
      </c>
      <c r="M45" s="140" t="s">
        <v>41</v>
      </c>
      <c r="N45" s="138">
        <v>3</v>
      </c>
      <c r="O45" s="99"/>
      <c r="P45" s="99"/>
      <c r="Q45" s="99">
        <f t="shared" si="8"/>
        <v>3</v>
      </c>
      <c r="R45" s="99"/>
      <c r="S45" s="99">
        <f t="shared" si="9"/>
        <v>3</v>
      </c>
      <c r="T45" s="141"/>
      <c r="U45" s="142"/>
      <c r="V45" s="143"/>
      <c r="W45" s="142"/>
      <c r="X45" s="143"/>
      <c r="Y45" s="142"/>
      <c r="Z45" s="143"/>
      <c r="AA45" s="142"/>
      <c r="AB45" s="143"/>
      <c r="AC45" s="142"/>
      <c r="AD45" s="143"/>
      <c r="AE45" s="142"/>
      <c r="AF45" s="143"/>
      <c r="AG45" s="142"/>
      <c r="AH45" s="143"/>
      <c r="AI45" s="142"/>
      <c r="AJ45" s="143"/>
      <c r="AK45" s="142"/>
      <c r="AL45" s="143"/>
      <c r="AM45" s="142"/>
      <c r="AN45" s="143"/>
      <c r="AO45" s="142"/>
      <c r="AP45" s="143"/>
      <c r="AQ45" s="142"/>
      <c r="AR45" s="143"/>
      <c r="AS45" s="142"/>
      <c r="AT45" s="143"/>
      <c r="AU45" s="138">
        <f t="shared" ref="AU45:AU50" si="11">+AS45+AQ45+AO45+AM45+AK45+AI45+AG45+AE45+AC45+AA45+Y45+W45+U45</f>
        <v>0</v>
      </c>
      <c r="AV45" s="138">
        <f>+S45-AU45</f>
        <v>3</v>
      </c>
      <c r="AW45" s="138">
        <v>3</v>
      </c>
      <c r="AX45" s="138">
        <f t="shared" si="10"/>
        <v>0</v>
      </c>
    </row>
    <row r="46" spans="3:61" x14ac:dyDescent="0.25">
      <c r="C46" s="155" t="s">
        <v>168</v>
      </c>
      <c r="D46" s="144" t="s">
        <v>169</v>
      </c>
      <c r="E46" s="58" t="s">
        <v>170</v>
      </c>
      <c r="F46" s="58">
        <v>10861</v>
      </c>
      <c r="G46" s="58">
        <v>19015</v>
      </c>
      <c r="H46" s="58" t="s">
        <v>29</v>
      </c>
      <c r="I46" s="58" t="s">
        <v>171</v>
      </c>
      <c r="J46" s="59" t="s">
        <v>172</v>
      </c>
      <c r="K46" s="59" t="s">
        <v>173</v>
      </c>
      <c r="L46" s="59" t="s">
        <v>81</v>
      </c>
      <c r="M46" s="140" t="s">
        <v>174</v>
      </c>
      <c r="N46" s="145">
        <v>4</v>
      </c>
      <c r="O46" s="99"/>
      <c r="P46" s="99"/>
      <c r="Q46" s="99">
        <f t="shared" si="8"/>
        <v>4</v>
      </c>
      <c r="R46" s="99"/>
      <c r="S46" s="99">
        <f t="shared" si="9"/>
        <v>4</v>
      </c>
      <c r="T46" s="141"/>
      <c r="U46" s="142">
        <v>4</v>
      </c>
      <c r="V46" s="143">
        <v>13464</v>
      </c>
      <c r="W46" s="142"/>
      <c r="X46" s="143"/>
      <c r="Y46" s="142"/>
      <c r="Z46" s="143"/>
      <c r="AA46" s="142"/>
      <c r="AB46" s="143"/>
      <c r="AC46" s="142"/>
      <c r="AD46" s="143"/>
      <c r="AE46" s="142"/>
      <c r="AF46" s="143"/>
      <c r="AG46" s="142"/>
      <c r="AH46" s="143"/>
      <c r="AI46" s="142"/>
      <c r="AJ46" s="143"/>
      <c r="AK46" s="142"/>
      <c r="AL46" s="143"/>
      <c r="AM46" s="142"/>
      <c r="AN46" s="143"/>
      <c r="AO46" s="142"/>
      <c r="AP46" s="143"/>
      <c r="AQ46" s="142"/>
      <c r="AR46" s="143"/>
      <c r="AS46" s="142"/>
      <c r="AT46" s="143"/>
      <c r="AU46" s="138">
        <f t="shared" si="11"/>
        <v>4</v>
      </c>
      <c r="AV46" s="138">
        <f t="shared" ref="AV46:AV50" si="12">+S46-AU46</f>
        <v>0</v>
      </c>
      <c r="AW46" s="145">
        <v>0</v>
      </c>
      <c r="AX46" s="138">
        <f t="shared" si="10"/>
        <v>0</v>
      </c>
    </row>
    <row r="47" spans="3:61" x14ac:dyDescent="0.25">
      <c r="C47" s="155" t="s">
        <v>175</v>
      </c>
      <c r="D47" s="144" t="s">
        <v>176</v>
      </c>
      <c r="E47" s="58" t="s">
        <v>177</v>
      </c>
      <c r="F47" s="58">
        <v>10926</v>
      </c>
      <c r="G47" s="58">
        <v>19044</v>
      </c>
      <c r="H47" s="58" t="s">
        <v>29</v>
      </c>
      <c r="I47" s="58" t="s">
        <v>178</v>
      </c>
      <c r="J47" s="59" t="s">
        <v>79</v>
      </c>
      <c r="K47" s="59" t="s">
        <v>179</v>
      </c>
      <c r="L47" s="59" t="s">
        <v>81</v>
      </c>
      <c r="M47" s="140" t="s">
        <v>41</v>
      </c>
      <c r="N47" s="145">
        <v>1</v>
      </c>
      <c r="O47" s="99"/>
      <c r="P47" s="99"/>
      <c r="Q47" s="99">
        <f t="shared" si="8"/>
        <v>1</v>
      </c>
      <c r="R47" s="99"/>
      <c r="S47" s="99">
        <f t="shared" si="9"/>
        <v>1</v>
      </c>
      <c r="T47" s="141"/>
      <c r="U47" s="142"/>
      <c r="V47" s="143"/>
      <c r="W47" s="142"/>
      <c r="X47" s="143"/>
      <c r="Y47" s="142"/>
      <c r="Z47" s="143"/>
      <c r="AA47" s="142"/>
      <c r="AB47" s="143"/>
      <c r="AC47" s="142"/>
      <c r="AD47" s="143"/>
      <c r="AE47" s="142"/>
      <c r="AF47" s="143"/>
      <c r="AG47" s="142"/>
      <c r="AH47" s="143"/>
      <c r="AI47" s="142"/>
      <c r="AJ47" s="143"/>
      <c r="AK47" s="142"/>
      <c r="AL47" s="143"/>
      <c r="AM47" s="142"/>
      <c r="AN47" s="143"/>
      <c r="AO47" s="142"/>
      <c r="AP47" s="143"/>
      <c r="AQ47" s="142"/>
      <c r="AR47" s="143"/>
      <c r="AS47" s="142"/>
      <c r="AT47" s="143"/>
      <c r="AU47" s="138">
        <f t="shared" si="11"/>
        <v>0</v>
      </c>
      <c r="AV47" s="138">
        <f t="shared" si="12"/>
        <v>1</v>
      </c>
      <c r="AW47" s="145">
        <v>1</v>
      </c>
      <c r="AX47" s="138">
        <f t="shared" si="10"/>
        <v>0</v>
      </c>
    </row>
    <row r="48" spans="3:61" x14ac:dyDescent="0.25">
      <c r="C48" s="155" t="s">
        <v>180</v>
      </c>
      <c r="D48" s="144" t="s">
        <v>169</v>
      </c>
      <c r="E48" s="58" t="s">
        <v>181</v>
      </c>
      <c r="F48" s="58">
        <v>11004</v>
      </c>
      <c r="G48" s="58">
        <v>19412</v>
      </c>
      <c r="H48" s="58" t="s">
        <v>29</v>
      </c>
      <c r="I48" s="58" t="s">
        <v>182</v>
      </c>
      <c r="J48" s="59" t="s">
        <v>183</v>
      </c>
      <c r="K48" s="59" t="s">
        <v>184</v>
      </c>
      <c r="L48" s="59" t="s">
        <v>81</v>
      </c>
      <c r="M48" s="140" t="s">
        <v>174</v>
      </c>
      <c r="N48" s="145">
        <v>10</v>
      </c>
      <c r="O48" s="99"/>
      <c r="P48" s="99"/>
      <c r="Q48" s="99">
        <f t="shared" si="8"/>
        <v>10</v>
      </c>
      <c r="R48" s="99"/>
      <c r="S48" s="99">
        <f t="shared" si="9"/>
        <v>10</v>
      </c>
      <c r="T48" s="141"/>
      <c r="U48" s="142">
        <v>1</v>
      </c>
      <c r="V48" s="143">
        <v>13464</v>
      </c>
      <c r="W48" s="142">
        <v>1</v>
      </c>
      <c r="X48" s="143">
        <v>13503</v>
      </c>
      <c r="Y48" s="142">
        <v>1</v>
      </c>
      <c r="Z48" s="143">
        <v>13551</v>
      </c>
      <c r="AA48" s="142"/>
      <c r="AB48" s="143"/>
      <c r="AC48" s="142"/>
      <c r="AD48" s="143"/>
      <c r="AE48" s="142"/>
      <c r="AF48" s="143"/>
      <c r="AG48" s="142"/>
      <c r="AH48" s="143"/>
      <c r="AI48" s="142"/>
      <c r="AJ48" s="143"/>
      <c r="AK48" s="142"/>
      <c r="AL48" s="143"/>
      <c r="AM48" s="142"/>
      <c r="AN48" s="143"/>
      <c r="AO48" s="142"/>
      <c r="AP48" s="143"/>
      <c r="AQ48" s="142"/>
      <c r="AR48" s="143"/>
      <c r="AS48" s="142"/>
      <c r="AT48" s="143"/>
      <c r="AU48" s="138">
        <f t="shared" si="11"/>
        <v>3</v>
      </c>
      <c r="AV48" s="138">
        <f t="shared" si="12"/>
        <v>7</v>
      </c>
      <c r="AW48" s="145">
        <v>7</v>
      </c>
      <c r="AX48" s="138">
        <f t="shared" si="10"/>
        <v>0</v>
      </c>
    </row>
    <row r="49" spans="3:50" x14ac:dyDescent="0.25">
      <c r="C49" s="155" t="s">
        <v>185</v>
      </c>
      <c r="D49" s="139" t="s">
        <v>186</v>
      </c>
      <c r="E49" s="58" t="s">
        <v>187</v>
      </c>
      <c r="F49" s="58">
        <v>3975</v>
      </c>
      <c r="G49" s="58">
        <v>7561</v>
      </c>
      <c r="H49" s="58" t="s">
        <v>29</v>
      </c>
      <c r="I49" s="58" t="s">
        <v>188</v>
      </c>
      <c r="J49" s="59" t="s">
        <v>104</v>
      </c>
      <c r="K49" s="59" t="s">
        <v>189</v>
      </c>
      <c r="L49" s="59" t="s">
        <v>190</v>
      </c>
      <c r="M49" s="140" t="s">
        <v>41</v>
      </c>
      <c r="N49" s="138">
        <v>5</v>
      </c>
      <c r="O49" s="99"/>
      <c r="P49" s="99"/>
      <c r="Q49" s="99">
        <f t="shared" si="8"/>
        <v>5</v>
      </c>
      <c r="R49" s="99"/>
      <c r="S49" s="99">
        <f t="shared" si="9"/>
        <v>5</v>
      </c>
      <c r="T49" s="141"/>
      <c r="U49" s="142"/>
      <c r="V49" s="143"/>
      <c r="W49" s="142"/>
      <c r="X49" s="143"/>
      <c r="Y49" s="142"/>
      <c r="Z49" s="143"/>
      <c r="AA49" s="142"/>
      <c r="AB49" s="143"/>
      <c r="AC49" s="142"/>
      <c r="AD49" s="143"/>
      <c r="AE49" s="142"/>
      <c r="AF49" s="143"/>
      <c r="AG49" s="142"/>
      <c r="AH49" s="143"/>
      <c r="AI49" s="142"/>
      <c r="AJ49" s="143"/>
      <c r="AK49" s="142"/>
      <c r="AL49" s="143"/>
      <c r="AM49" s="142"/>
      <c r="AN49" s="143"/>
      <c r="AO49" s="142"/>
      <c r="AP49" s="143"/>
      <c r="AQ49" s="142"/>
      <c r="AR49" s="143"/>
      <c r="AS49" s="142"/>
      <c r="AT49" s="143"/>
      <c r="AU49" s="138">
        <f t="shared" si="11"/>
        <v>0</v>
      </c>
      <c r="AV49" s="138">
        <f t="shared" si="12"/>
        <v>5</v>
      </c>
      <c r="AW49" s="145">
        <v>5</v>
      </c>
      <c r="AX49" s="138">
        <f t="shared" si="10"/>
        <v>0</v>
      </c>
    </row>
    <row r="50" spans="3:50" x14ac:dyDescent="0.25">
      <c r="C50" s="155" t="s">
        <v>191</v>
      </c>
      <c r="D50" s="139" t="s">
        <v>192</v>
      </c>
      <c r="E50" s="58" t="s">
        <v>187</v>
      </c>
      <c r="F50" s="58">
        <v>3975</v>
      </c>
      <c r="G50" s="58">
        <v>7561</v>
      </c>
      <c r="H50" s="58" t="s">
        <v>29</v>
      </c>
      <c r="I50" s="58" t="s">
        <v>188</v>
      </c>
      <c r="J50" s="59" t="s">
        <v>104</v>
      </c>
      <c r="K50" s="59" t="s">
        <v>193</v>
      </c>
      <c r="L50" s="59" t="s">
        <v>190</v>
      </c>
      <c r="M50" s="140" t="s">
        <v>41</v>
      </c>
      <c r="N50" s="138">
        <v>1</v>
      </c>
      <c r="O50" s="99"/>
      <c r="P50" s="99"/>
      <c r="Q50" s="99">
        <f t="shared" si="8"/>
        <v>1</v>
      </c>
      <c r="R50" s="99"/>
      <c r="S50" s="99">
        <f t="shared" si="9"/>
        <v>1</v>
      </c>
      <c r="T50" s="141"/>
      <c r="U50" s="142"/>
      <c r="V50" s="143"/>
      <c r="W50" s="142"/>
      <c r="X50" s="143"/>
      <c r="Y50" s="142"/>
      <c r="Z50" s="143"/>
      <c r="AA50" s="142"/>
      <c r="AB50" s="143"/>
      <c r="AC50" s="142"/>
      <c r="AD50" s="143"/>
      <c r="AE50" s="142"/>
      <c r="AF50" s="143"/>
      <c r="AG50" s="142"/>
      <c r="AH50" s="143"/>
      <c r="AI50" s="142"/>
      <c r="AJ50" s="143"/>
      <c r="AK50" s="142"/>
      <c r="AL50" s="143"/>
      <c r="AM50" s="142"/>
      <c r="AN50" s="143"/>
      <c r="AO50" s="142"/>
      <c r="AP50" s="143"/>
      <c r="AQ50" s="142"/>
      <c r="AR50" s="143"/>
      <c r="AS50" s="142"/>
      <c r="AT50" s="143"/>
      <c r="AU50" s="138">
        <f t="shared" si="11"/>
        <v>0</v>
      </c>
      <c r="AV50" s="138">
        <f t="shared" si="12"/>
        <v>1</v>
      </c>
      <c r="AW50" s="138">
        <v>1</v>
      </c>
      <c r="AX50" s="138">
        <f t="shared" si="10"/>
        <v>0</v>
      </c>
    </row>
    <row r="51" spans="3:50" x14ac:dyDescent="0.25">
      <c r="C51" s="155" t="s">
        <v>194</v>
      </c>
      <c r="D51" s="146" t="s">
        <v>99</v>
      </c>
      <c r="E51" s="58" t="s">
        <v>195</v>
      </c>
      <c r="F51" s="58">
        <v>6763</v>
      </c>
      <c r="G51" s="58">
        <v>12058</v>
      </c>
      <c r="H51" s="58" t="s">
        <v>29</v>
      </c>
      <c r="I51" s="58" t="s">
        <v>196</v>
      </c>
      <c r="J51" s="59" t="s">
        <v>105</v>
      </c>
      <c r="K51" s="59" t="s">
        <v>197</v>
      </c>
      <c r="L51" s="59" t="s">
        <v>198</v>
      </c>
      <c r="M51" s="140" t="s">
        <v>41</v>
      </c>
      <c r="N51" s="145">
        <v>1</v>
      </c>
      <c r="O51" s="99"/>
      <c r="P51" s="99"/>
      <c r="Q51" s="99">
        <f>+N51+O51</f>
        <v>1</v>
      </c>
      <c r="R51" s="99"/>
      <c r="S51" s="99">
        <f>+Q51</f>
        <v>1</v>
      </c>
      <c r="T51" s="141"/>
      <c r="U51" s="142"/>
      <c r="V51" s="143"/>
      <c r="W51" s="142"/>
      <c r="X51" s="143"/>
      <c r="Y51" s="142"/>
      <c r="Z51" s="143"/>
      <c r="AA51" s="142"/>
      <c r="AB51" s="143"/>
      <c r="AC51" s="142"/>
      <c r="AD51" s="143"/>
      <c r="AE51" s="142"/>
      <c r="AF51" s="143"/>
      <c r="AG51" s="142"/>
      <c r="AH51" s="143"/>
      <c r="AI51" s="142"/>
      <c r="AJ51" s="143"/>
      <c r="AK51" s="142"/>
      <c r="AL51" s="143"/>
      <c r="AM51" s="142"/>
      <c r="AN51" s="143"/>
      <c r="AO51" s="142"/>
      <c r="AP51" s="143"/>
      <c r="AQ51" s="142"/>
      <c r="AR51" s="143"/>
      <c r="AS51" s="142"/>
      <c r="AT51" s="143"/>
      <c r="AU51" s="138">
        <f t="shared" ref="AU51:AU54" si="13">+AS51+AQ51+AO51+AM51+AK51+AI51+AG51+AE51+AC51+AA51+Y51+W51+U51</f>
        <v>0</v>
      </c>
      <c r="AV51" s="138">
        <f>+S51-AU51</f>
        <v>1</v>
      </c>
      <c r="AW51" s="145">
        <v>1</v>
      </c>
      <c r="AX51" s="138">
        <f>+AW51-AV51</f>
        <v>0</v>
      </c>
    </row>
    <row r="52" spans="3:50" x14ac:dyDescent="0.25">
      <c r="C52" s="155" t="s">
        <v>199</v>
      </c>
      <c r="D52" s="146" t="s">
        <v>99</v>
      </c>
      <c r="E52" s="58" t="s">
        <v>195</v>
      </c>
      <c r="F52" s="58">
        <v>6768</v>
      </c>
      <c r="G52" s="58">
        <v>12060</v>
      </c>
      <c r="H52" s="58" t="s">
        <v>29</v>
      </c>
      <c r="I52" s="58" t="s">
        <v>200</v>
      </c>
      <c r="J52" s="59" t="s">
        <v>105</v>
      </c>
      <c r="K52" s="59" t="s">
        <v>201</v>
      </c>
      <c r="L52" s="59" t="s">
        <v>202</v>
      </c>
      <c r="M52" s="140" t="s">
        <v>41</v>
      </c>
      <c r="N52" s="145">
        <v>1</v>
      </c>
      <c r="O52" s="99"/>
      <c r="P52" s="99"/>
      <c r="Q52" s="99">
        <f>+N52+O52</f>
        <v>1</v>
      </c>
      <c r="R52" s="99"/>
      <c r="S52" s="99">
        <f>+Q52</f>
        <v>1</v>
      </c>
      <c r="T52" s="141"/>
      <c r="U52" s="142"/>
      <c r="V52" s="143"/>
      <c r="W52" s="142"/>
      <c r="X52" s="143"/>
      <c r="Y52" s="142"/>
      <c r="Z52" s="143"/>
      <c r="AA52" s="142"/>
      <c r="AB52" s="143"/>
      <c r="AC52" s="142"/>
      <c r="AD52" s="143"/>
      <c r="AE52" s="142"/>
      <c r="AF52" s="143"/>
      <c r="AG52" s="142"/>
      <c r="AH52" s="143"/>
      <c r="AI52" s="142"/>
      <c r="AJ52" s="143"/>
      <c r="AK52" s="142"/>
      <c r="AL52" s="143"/>
      <c r="AM52" s="142"/>
      <c r="AN52" s="143"/>
      <c r="AO52" s="142"/>
      <c r="AP52" s="143"/>
      <c r="AQ52" s="142"/>
      <c r="AR52" s="143"/>
      <c r="AS52" s="142"/>
      <c r="AT52" s="143"/>
      <c r="AU52" s="138">
        <f t="shared" si="13"/>
        <v>0</v>
      </c>
      <c r="AV52" s="138">
        <f>+S52-AU52</f>
        <v>1</v>
      </c>
      <c r="AW52" s="145">
        <v>1</v>
      </c>
      <c r="AX52" s="138">
        <f>+AW52-AV52</f>
        <v>0</v>
      </c>
    </row>
    <row r="53" spans="3:50" x14ac:dyDescent="0.25">
      <c r="C53" s="155" t="s">
        <v>203</v>
      </c>
      <c r="D53" s="146" t="s">
        <v>99</v>
      </c>
      <c r="E53" s="58" t="s">
        <v>195</v>
      </c>
      <c r="F53" s="58">
        <v>6766</v>
      </c>
      <c r="G53" s="58">
        <v>12057</v>
      </c>
      <c r="H53" s="58" t="s">
        <v>29</v>
      </c>
      <c r="I53" s="58" t="s">
        <v>204</v>
      </c>
      <c r="J53" s="59" t="s">
        <v>105</v>
      </c>
      <c r="K53" s="59" t="s">
        <v>205</v>
      </c>
      <c r="L53" s="59" t="s">
        <v>198</v>
      </c>
      <c r="M53" s="140" t="s">
        <v>41</v>
      </c>
      <c r="N53" s="147">
        <v>3</v>
      </c>
      <c r="O53" s="91"/>
      <c r="P53" s="91"/>
      <c r="Q53" s="91">
        <f t="shared" ref="Q53:Q54" si="14">+N53+O53</f>
        <v>3</v>
      </c>
      <c r="R53" s="91"/>
      <c r="S53" s="91">
        <f t="shared" ref="S53:S54" si="15">+Q53</f>
        <v>3</v>
      </c>
      <c r="T53" s="135"/>
      <c r="U53" s="142"/>
      <c r="V53" s="143"/>
      <c r="W53" s="142"/>
      <c r="X53" s="143"/>
      <c r="Y53" s="142"/>
      <c r="Z53" s="143"/>
      <c r="AA53" s="142"/>
      <c r="AB53" s="143"/>
      <c r="AC53" s="142"/>
      <c r="AD53" s="143"/>
      <c r="AE53" s="142"/>
      <c r="AF53" s="143"/>
      <c r="AG53" s="142"/>
      <c r="AH53" s="143"/>
      <c r="AI53" s="142"/>
      <c r="AJ53" s="143"/>
      <c r="AK53" s="142"/>
      <c r="AL53" s="143"/>
      <c r="AM53" s="142"/>
      <c r="AN53" s="143"/>
      <c r="AO53" s="142"/>
      <c r="AP53" s="143"/>
      <c r="AQ53" s="142"/>
      <c r="AR53" s="143"/>
      <c r="AS53" s="142"/>
      <c r="AT53" s="143"/>
      <c r="AU53" s="138">
        <f t="shared" si="13"/>
        <v>0</v>
      </c>
      <c r="AV53" s="134">
        <f t="shared" ref="AV53:AV54" si="16">+S53-AU53</f>
        <v>3</v>
      </c>
      <c r="AW53" s="147">
        <v>3</v>
      </c>
      <c r="AX53" s="134">
        <f t="shared" ref="AX53:AX54" si="17">+AW53-AV53</f>
        <v>0</v>
      </c>
    </row>
    <row r="54" spans="3:50" x14ac:dyDescent="0.25">
      <c r="C54" s="155" t="s">
        <v>206</v>
      </c>
      <c r="D54" s="146" t="s">
        <v>99</v>
      </c>
      <c r="E54" s="58" t="s">
        <v>195</v>
      </c>
      <c r="F54" s="58">
        <v>6767</v>
      </c>
      <c r="G54" s="58">
        <v>12060</v>
      </c>
      <c r="H54" s="58" t="s">
        <v>29</v>
      </c>
      <c r="I54" s="58" t="s">
        <v>200</v>
      </c>
      <c r="J54" s="59" t="s">
        <v>105</v>
      </c>
      <c r="K54" s="59" t="s">
        <v>207</v>
      </c>
      <c r="L54" s="59" t="s">
        <v>202</v>
      </c>
      <c r="M54" s="140" t="s">
        <v>41</v>
      </c>
      <c r="N54" s="145">
        <v>2</v>
      </c>
      <c r="O54" s="99"/>
      <c r="P54" s="99"/>
      <c r="Q54" s="99">
        <f t="shared" si="14"/>
        <v>2</v>
      </c>
      <c r="R54" s="99"/>
      <c r="S54" s="99">
        <f t="shared" si="15"/>
        <v>2</v>
      </c>
      <c r="T54" s="141"/>
      <c r="U54" s="142"/>
      <c r="V54" s="143"/>
      <c r="W54" s="142"/>
      <c r="X54" s="143"/>
      <c r="Y54" s="142"/>
      <c r="Z54" s="143"/>
      <c r="AA54" s="142"/>
      <c r="AB54" s="143"/>
      <c r="AC54" s="142"/>
      <c r="AD54" s="143"/>
      <c r="AE54" s="142"/>
      <c r="AF54" s="143"/>
      <c r="AG54" s="142"/>
      <c r="AH54" s="143"/>
      <c r="AI54" s="142"/>
      <c r="AJ54" s="143"/>
      <c r="AK54" s="142"/>
      <c r="AL54" s="143"/>
      <c r="AM54" s="142"/>
      <c r="AN54" s="143"/>
      <c r="AO54" s="142"/>
      <c r="AP54" s="143"/>
      <c r="AQ54" s="142"/>
      <c r="AR54" s="143"/>
      <c r="AS54" s="142"/>
      <c r="AT54" s="143"/>
      <c r="AU54" s="138">
        <f t="shared" si="13"/>
        <v>0</v>
      </c>
      <c r="AV54" s="138">
        <f t="shared" si="16"/>
        <v>2</v>
      </c>
      <c r="AW54" s="145">
        <v>2</v>
      </c>
      <c r="AX54" s="138">
        <f t="shared" si="17"/>
        <v>0</v>
      </c>
    </row>
  </sheetData>
  <mergeCells count="7">
    <mergeCell ref="O4:P4"/>
    <mergeCell ref="Q4:R4"/>
    <mergeCell ref="AZ4:BB4"/>
    <mergeCell ref="O41:P41"/>
    <mergeCell ref="Q41:R41"/>
    <mergeCell ref="S41:T41"/>
    <mergeCell ref="AV41:AX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a2809</dc:creator>
  <cp:lastModifiedBy>a2809</cp:lastModifiedBy>
  <dcterms:created xsi:type="dcterms:W3CDTF">2026-08-31T22:36:26Z</dcterms:created>
  <dcterms:modified xsi:type="dcterms:W3CDTF">2026-08-31T22:50:27Z</dcterms:modified>
</cp:coreProperties>
</file>