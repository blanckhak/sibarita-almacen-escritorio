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EVO NOTAS DE INGRESO ACTIVOS\AÑO 2026\INFORMES\SISTEMA REPUESTOS\FORMATOS\"/>
    </mc:Choice>
  </mc:AlternateContent>
  <xr:revisionPtr revIDLastSave="0" documentId="8_{14E1341D-8876-4A4C-A34F-E2F6792A4A68}" xr6:coauthVersionLast="47" xr6:coauthVersionMax="47" xr10:uidLastSave="{00000000-0000-0000-0000-000000000000}"/>
  <bookViews>
    <workbookView xWindow="-120" yWindow="-120" windowWidth="20730" windowHeight="11160" xr2:uid="{F43D6C56-137A-4CDD-9BCB-FFE86FEA4C32}"/>
  </bookViews>
  <sheets>
    <sheet name="INGRESOS" sheetId="1" r:id="rId1"/>
    <sheet name="DEVOLU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9" i="2" l="1"/>
  <c r="M9" i="2"/>
  <c r="AN8" i="2"/>
  <c r="M8" i="2"/>
  <c r="AO8" i="2" s="1"/>
  <c r="AQ8" i="2" s="1"/>
  <c r="AN7" i="2"/>
  <c r="M7" i="2"/>
  <c r="AO7" i="2" s="1"/>
  <c r="AQ7" i="2" s="1"/>
  <c r="AY22" i="1"/>
  <c r="S22" i="1"/>
  <c r="Q22" i="1"/>
  <c r="AZ22" i="1" s="1"/>
  <c r="BB22" i="1" s="1"/>
  <c r="AY21" i="1"/>
  <c r="Q21" i="1"/>
  <c r="S21" i="1" s="1"/>
  <c r="AZ20" i="1"/>
  <c r="BB20" i="1" s="1"/>
  <c r="AY20" i="1"/>
  <c r="S20" i="1"/>
  <c r="Q20" i="1"/>
  <c r="AY19" i="1"/>
  <c r="Q19" i="1"/>
  <c r="AZ19" i="1" s="1"/>
  <c r="BB19" i="1" s="1"/>
  <c r="AZ18" i="1"/>
  <c r="BB18" i="1" s="1"/>
  <c r="AY18" i="1"/>
  <c r="S18" i="1"/>
  <c r="Q18" i="1"/>
  <c r="AY17" i="1"/>
  <c r="Q17" i="1"/>
  <c r="S17" i="1" s="1"/>
  <c r="AZ16" i="1"/>
  <c r="BB16" i="1" s="1"/>
  <c r="AY16" i="1"/>
  <c r="S16" i="1"/>
  <c r="Q16" i="1"/>
  <c r="AY15" i="1"/>
  <c r="Q15" i="1"/>
  <c r="AZ15" i="1" s="1"/>
  <c r="BB15" i="1" s="1"/>
  <c r="AZ14" i="1"/>
  <c r="BB14" i="1" s="1"/>
  <c r="AY14" i="1"/>
  <c r="S14" i="1"/>
  <c r="Q14" i="1"/>
  <c r="AY13" i="1"/>
  <c r="Q13" i="1"/>
  <c r="S13" i="1" s="1"/>
  <c r="AZ12" i="1"/>
  <c r="BB12" i="1" s="1"/>
  <c r="AY12" i="1"/>
  <c r="S12" i="1"/>
  <c r="Q12" i="1"/>
  <c r="AY11" i="1"/>
  <c r="Q11" i="1"/>
  <c r="AZ11" i="1" s="1"/>
  <c r="BB11" i="1" s="1"/>
  <c r="AZ10" i="1"/>
  <c r="BB10" i="1" s="1"/>
  <c r="AY10" i="1"/>
  <c r="S10" i="1"/>
  <c r="Q10" i="1"/>
  <c r="AY9" i="1"/>
  <c r="Q9" i="1"/>
  <c r="S9" i="1" s="1"/>
  <c r="AZ8" i="1"/>
  <c r="BB8" i="1" s="1"/>
  <c r="AY8" i="1"/>
  <c r="S8" i="1"/>
  <c r="Q8" i="1"/>
  <c r="AO9" i="2" l="1"/>
  <c r="AQ9" i="2" s="1"/>
  <c r="AZ9" i="1"/>
  <c r="BB9" i="1" s="1"/>
  <c r="S11" i="1"/>
  <c r="AZ13" i="1"/>
  <c r="BB13" i="1" s="1"/>
  <c r="S15" i="1"/>
  <c r="AZ17" i="1"/>
  <c r="BB17" i="1" s="1"/>
  <c r="S19" i="1"/>
  <c r="AZ21" i="1"/>
  <c r="BB21" i="1" s="1"/>
</calcChain>
</file>

<file path=xl/sharedStrings.xml><?xml version="1.0" encoding="utf-8"?>
<sst xmlns="http://schemas.openxmlformats.org/spreadsheetml/2006/main" count="245" uniqueCount="92">
  <si>
    <t>INVENTARIO DE REPUESTOS MALSA SEMANAL  AL  18.09.26</t>
  </si>
  <si>
    <t xml:space="preserve">   </t>
  </si>
  <si>
    <t>PERIODO AL 19.09.26</t>
  </si>
  <si>
    <t xml:space="preserve">DEVOL. </t>
  </si>
  <si>
    <t>I N G R E S O S</t>
  </si>
  <si>
    <t>TOTAL</t>
  </si>
  <si>
    <t xml:space="preserve">   S A L I D A S          S A L I D A S        S A L I D A S        S A L I D A S        S A L I D A S          S A L I D A S          S A L I D A S        S A L I D A S        S A L I D  A S        S A L I D A S        S A L I D A S        S A L I D A S          S A L I D A S       S A L I D A S        S A L I D A S</t>
  </si>
  <si>
    <t>INVENTARIO</t>
  </si>
  <si>
    <t>ITEM</t>
  </si>
  <si>
    <t>UBICAC</t>
  </si>
  <si>
    <t>Fecha</t>
  </si>
  <si>
    <t>N/I</t>
  </si>
  <si>
    <t>O/C  Nº Externa</t>
  </si>
  <si>
    <t>DOC</t>
  </si>
  <si>
    <t xml:space="preserve"> Nº</t>
  </si>
  <si>
    <t>Proveedor</t>
  </si>
  <si>
    <t>Detalle</t>
  </si>
  <si>
    <t>Máquina - MOTIVO</t>
  </si>
  <si>
    <t>UNID MED</t>
  </si>
  <si>
    <t>Cantidad</t>
  </si>
  <si>
    <t>DEVOL. ACT.</t>
  </si>
  <si>
    <t>Nº GUIA</t>
  </si>
  <si>
    <t>CANT.</t>
  </si>
  <si>
    <t>INGRESO</t>
  </si>
  <si>
    <t>DESTINO</t>
  </si>
  <si>
    <t>TTL / S</t>
  </si>
  <si>
    <t>SALDO</t>
  </si>
  <si>
    <t>INV.</t>
  </si>
  <si>
    <t>DIF.</t>
  </si>
  <si>
    <t>M2739</t>
  </si>
  <si>
    <t>MA1-4</t>
  </si>
  <si>
    <t>20.07.26</t>
  </si>
  <si>
    <t>G/R</t>
  </si>
  <si>
    <t>EG07-0000743</t>
  </si>
  <si>
    <t>FERRETERIA JR E.I.R.L.</t>
  </si>
  <si>
    <t>THINER ACRILICO SUPERCITO AUTOMOTRIZ NO FISCALIZADO</t>
  </si>
  <si>
    <t>PARA MANTENIMIENTO DE MOLINOS</t>
  </si>
  <si>
    <t>U</t>
  </si>
  <si>
    <t>3 LTS. JHACHA VERSALIT</t>
  </si>
  <si>
    <t>M2740</t>
  </si>
  <si>
    <t>JUEGO DE 25 LLAVES HEXAGONALES MM/PLG. 15572 TRUPER</t>
  </si>
  <si>
    <t>M2741</t>
  </si>
  <si>
    <t>MA6-3</t>
  </si>
  <si>
    <t>CABLE UTP CAT SOLIDO SATRA 0201013006 X MT</t>
  </si>
  <si>
    <t>MT</t>
  </si>
  <si>
    <t>M2742</t>
  </si>
  <si>
    <t>M2-2</t>
  </si>
  <si>
    <t>CONECTOR RJ45</t>
  </si>
  <si>
    <t>M2743</t>
  </si>
  <si>
    <t>MA2-2</t>
  </si>
  <si>
    <t>WD 40 13.2 ONZ. WD40</t>
  </si>
  <si>
    <t>M2744</t>
  </si>
  <si>
    <t>LIMPIA CONTACTO 300ML WURTH</t>
  </si>
  <si>
    <t>ANULADA</t>
  </si>
  <si>
    <t>M2746</t>
  </si>
  <si>
    <t>M2-3</t>
  </si>
  <si>
    <t>EG07-0000744</t>
  </si>
  <si>
    <t xml:space="preserve">TRANSFORMADOR CTRL 150V ESTRADA 380V/220V SALIO 24/12V </t>
  </si>
  <si>
    <t>PARA MOLINO DE SAZONADORES</t>
  </si>
  <si>
    <t>NDK 150V</t>
  </si>
  <si>
    <t>M2747</t>
  </si>
  <si>
    <t>MA3-4</t>
  </si>
  <si>
    <t>SOLDADURA ELECTRICA INOX. AW 3/32 - 1 KGS</t>
  </si>
  <si>
    <t>M2748</t>
  </si>
  <si>
    <t>MA1-3</t>
  </si>
  <si>
    <t>VALVULA CHECK DE BRONCE CANASTILLA 2</t>
  </si>
  <si>
    <t>M2749</t>
  </si>
  <si>
    <t>MA6-PISO</t>
  </si>
  <si>
    <t>21.07.26</t>
  </si>
  <si>
    <t>T001-00001661</t>
  </si>
  <si>
    <t>IMPORTACIONES DE PLANCHAS PERFORADAS INOXIDABLE S.A.C.</t>
  </si>
  <si>
    <t>MALLLA DE AC. INOX. CAL 304 Nº 30X 0.30MM X 1.22 MT</t>
  </si>
  <si>
    <t>PARA AREA DE MOLINOS PALILLOS Y OTROS</t>
  </si>
  <si>
    <t>M2750</t>
  </si>
  <si>
    <t>MALLLA DE AC. INOX. CAL 304 Nº 12X 0.70MM X 1.22 MT</t>
  </si>
  <si>
    <t>M2751</t>
  </si>
  <si>
    <t>MALLLA DE AC. INOX. CAL 304 Nº 20X 0.40MM X 1.22 MT</t>
  </si>
  <si>
    <t>PERIODO AL 11.09.26</t>
  </si>
  <si>
    <t>MA4-4</t>
  </si>
  <si>
    <t>SOLVENTE DIELECTRICO</t>
  </si>
  <si>
    <t>GLN</t>
  </si>
  <si>
    <t>MA1-2</t>
  </si>
  <si>
    <t>PAÑO WYPALL X UND.</t>
  </si>
  <si>
    <t>KG.</t>
  </si>
  <si>
    <t>DETALLE DE INVENTARIO REPUESTOS Y HERRAMIENTAS - MALSA</t>
  </si>
  <si>
    <t>SEMANAL  AL  18.09.26</t>
  </si>
  <si>
    <t>DEVOLUCIÓN</t>
  </si>
  <si>
    <t>UBIC.</t>
  </si>
  <si>
    <t>DESCRIPCION</t>
  </si>
  <si>
    <t>U.M.</t>
  </si>
  <si>
    <t>STOCK 
INICIAL</t>
  </si>
  <si>
    <t>Nº GUIA DEVOL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</si>
</sst>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-* #,##0\ _€_-;\-* #,##0\ _€_-;_-* &quot;-&quot;??\ _€_-;_-@_-"/>
    <numFmt numFmtId="166" formatCode="_(* #,##0.00_);_(* \(#,##0.00\);_(* &quot;-&quot;??_);_(@_)"/>
    <numFmt numFmtId="167" formatCode="#,##0.000"/>
    <numFmt numFmtId="168" formatCode="_(* #,##0_);_(* \(#,##0\);_(* &quot;-&quot;??_);_(@_)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_(* #,##0.0_);_(* \(#,##0.0\);_(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Courier New"/>
      <family val="3"/>
    </font>
    <font>
      <b/>
      <sz val="12"/>
      <name val="Calibri"/>
      <family val="2"/>
    </font>
    <font>
      <b/>
      <sz val="10"/>
      <name val="Times New Roman"/>
      <family val="1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urier New"/>
      <family val="3"/>
    </font>
    <font>
      <sz val="10"/>
      <color indexed="8"/>
      <name val="Courier New"/>
      <family val="3"/>
    </font>
    <font>
      <b/>
      <sz val="1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4"/>
      <name val="Calibri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name val="Courier New"/>
      <family val="3"/>
    </font>
    <font>
      <b/>
      <sz val="12"/>
      <color indexed="8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21">
    <xf numFmtId="0" fontId="0" fillId="0" borderId="0" xfId="0"/>
    <xf numFmtId="0" fontId="2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/>
    <xf numFmtId="164" fontId="3" fillId="2" borderId="0" xfId="1" applyNumberFormat="1" applyFont="1" applyFill="1"/>
    <xf numFmtId="165" fontId="4" fillId="2" borderId="0" xfId="1" applyNumberFormat="1" applyFont="1" applyFill="1"/>
    <xf numFmtId="43" fontId="4" fillId="2" borderId="0" xfId="1" applyFont="1" applyFill="1" applyAlignment="1"/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6" fontId="6" fillId="2" borderId="3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right"/>
    </xf>
    <xf numFmtId="0" fontId="3" fillId="2" borderId="3" xfId="0" applyFont="1" applyFill="1" applyBorder="1"/>
    <xf numFmtId="0" fontId="6" fillId="2" borderId="1" xfId="1" applyNumberFormat="1" applyFont="1" applyFill="1" applyBorder="1" applyAlignment="1"/>
    <xf numFmtId="0" fontId="6" fillId="2" borderId="3" xfId="1" applyNumberFormat="1" applyFont="1" applyFill="1" applyBorder="1" applyAlignment="1"/>
    <xf numFmtId="0" fontId="6" fillId="2" borderId="2" xfId="1" applyNumberFormat="1" applyFont="1" applyFill="1" applyBorder="1" applyAlignment="1"/>
    <xf numFmtId="166" fontId="4" fillId="2" borderId="1" xfId="1" applyNumberFormat="1" applyFont="1" applyFill="1" applyBorder="1" applyAlignment="1">
      <alignment horizontal="center"/>
    </xf>
    <xf numFmtId="166" fontId="4" fillId="2" borderId="3" xfId="1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vertical="center"/>
    </xf>
    <xf numFmtId="168" fontId="4" fillId="2" borderId="4" xfId="1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/>
    </xf>
    <xf numFmtId="166" fontId="6" fillId="2" borderId="4" xfId="0" applyNumberFormat="1" applyFont="1" applyFill="1" applyBorder="1" applyAlignment="1">
      <alignment vertical="center"/>
    </xf>
    <xf numFmtId="164" fontId="4" fillId="3" borderId="4" xfId="1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166" fontId="6" fillId="2" borderId="4" xfId="1" applyNumberFormat="1" applyFont="1" applyFill="1" applyBorder="1" applyAlignment="1">
      <alignment horizontal="center" vertical="center"/>
    </xf>
    <xf numFmtId="165" fontId="6" fillId="2" borderId="4" xfId="1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/>
    </xf>
    <xf numFmtId="49" fontId="9" fillId="5" borderId="5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164" fontId="3" fillId="2" borderId="8" xfId="2" applyFont="1" applyFill="1" applyBorder="1" applyAlignment="1">
      <alignment horizontal="center"/>
    </xf>
    <xf numFmtId="169" fontId="13" fillId="6" borderId="8" xfId="1" applyNumberFormat="1" applyFont="1" applyFill="1" applyBorder="1" applyAlignment="1">
      <alignment horizontal="center"/>
    </xf>
    <xf numFmtId="166" fontId="13" fillId="2" borderId="5" xfId="1" applyNumberFormat="1" applyFont="1" applyFill="1" applyBorder="1" applyAlignment="1">
      <alignment horizontal="center"/>
    </xf>
    <xf numFmtId="168" fontId="13" fillId="2" borderId="5" xfId="1" applyNumberFormat="1" applyFont="1" applyFill="1" applyBorder="1" applyAlignment="1">
      <alignment horizontal="center"/>
    </xf>
    <xf numFmtId="169" fontId="6" fillId="2" borderId="5" xfId="0" applyNumberFormat="1" applyFont="1" applyFill="1" applyBorder="1"/>
    <xf numFmtId="164" fontId="13" fillId="3" borderId="5" xfId="1" applyNumberFormat="1" applyFont="1" applyFill="1" applyBorder="1" applyAlignment="1">
      <alignment horizontal="center"/>
    </xf>
    <xf numFmtId="0" fontId="3" fillId="4" borderId="5" xfId="0" applyFont="1" applyFill="1" applyBorder="1"/>
    <xf numFmtId="168" fontId="13" fillId="3" borderId="5" xfId="1" applyNumberFormat="1" applyFont="1" applyFill="1" applyBorder="1" applyAlignment="1">
      <alignment horizontal="center"/>
    </xf>
    <xf numFmtId="43" fontId="13" fillId="2" borderId="5" xfId="0" applyNumberFormat="1" applyFont="1" applyFill="1" applyBorder="1" applyAlignment="1">
      <alignment horizontal="center"/>
    </xf>
    <xf numFmtId="43" fontId="10" fillId="7" borderId="5" xfId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43" fontId="10" fillId="0" borderId="5" xfId="1" applyFont="1" applyBorder="1" applyAlignment="1">
      <alignment horizontal="center"/>
    </xf>
    <xf numFmtId="170" fontId="13" fillId="6" borderId="8" xfId="1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49" fontId="9" fillId="2" borderId="10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/>
    </xf>
    <xf numFmtId="43" fontId="3" fillId="2" borderId="9" xfId="1" applyFont="1" applyFill="1" applyBorder="1" applyAlignment="1">
      <alignment horizontal="center"/>
    </xf>
    <xf numFmtId="171" fontId="13" fillId="2" borderId="1" xfId="1" applyNumberFormat="1" applyFont="1" applyFill="1" applyBorder="1" applyAlignment="1">
      <alignment horizontal="center"/>
    </xf>
    <xf numFmtId="168" fontId="13" fillId="2" borderId="9" xfId="1" applyNumberFormat="1" applyFont="1" applyFill="1" applyBorder="1" applyAlignment="1">
      <alignment horizontal="center"/>
    </xf>
    <xf numFmtId="166" fontId="13" fillId="2" borderId="9" xfId="1" applyNumberFormat="1" applyFont="1" applyFill="1" applyBorder="1" applyAlignment="1">
      <alignment horizontal="center"/>
    </xf>
    <xf numFmtId="43" fontId="14" fillId="8" borderId="9" xfId="1" applyFont="1" applyFill="1" applyBorder="1" applyAlignment="1">
      <alignment horizontal="center"/>
    </xf>
    <xf numFmtId="168" fontId="14" fillId="3" borderId="11" xfId="1" applyNumberFormat="1" applyFont="1" applyFill="1" applyBorder="1" applyAlignment="1">
      <alignment horizontal="center"/>
    </xf>
    <xf numFmtId="0" fontId="11" fillId="4" borderId="9" xfId="0" applyFont="1" applyFill="1" applyBorder="1"/>
    <xf numFmtId="166" fontId="14" fillId="3" borderId="9" xfId="1" applyNumberFormat="1" applyFont="1" applyFill="1" applyBorder="1" applyAlignment="1">
      <alignment horizontal="center"/>
    </xf>
    <xf numFmtId="168" fontId="14" fillId="3" borderId="9" xfId="1" applyNumberFormat="1" applyFont="1" applyFill="1" applyBorder="1" applyAlignment="1">
      <alignment horizontal="center"/>
    </xf>
    <xf numFmtId="43" fontId="13" fillId="2" borderId="12" xfId="1" applyFont="1" applyFill="1" applyBorder="1" applyAlignment="1">
      <alignment horizontal="center"/>
    </xf>
    <xf numFmtId="171" fontId="13" fillId="2" borderId="4" xfId="1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49" fontId="9" fillId="2" borderId="5" xfId="1" applyNumberFormat="1" applyFont="1" applyFill="1" applyBorder="1" applyAlignment="1">
      <alignment horizontal="center" vertical="center"/>
    </xf>
    <xf numFmtId="43" fontId="3" fillId="2" borderId="6" xfId="1" applyFont="1" applyFill="1" applyBorder="1" applyAlignment="1">
      <alignment horizontal="center"/>
    </xf>
    <xf numFmtId="171" fontId="13" fillId="6" borderId="8" xfId="1" applyNumberFormat="1" applyFont="1" applyFill="1" applyBorder="1" applyAlignment="1">
      <alignment horizontal="center"/>
    </xf>
    <xf numFmtId="168" fontId="13" fillId="2" borderId="6" xfId="1" applyNumberFormat="1" applyFont="1" applyFill="1" applyBorder="1" applyAlignment="1">
      <alignment horizontal="center"/>
    </xf>
    <xf numFmtId="166" fontId="13" fillId="2" borderId="6" xfId="1" applyNumberFormat="1" applyFont="1" applyFill="1" applyBorder="1" applyAlignment="1">
      <alignment horizontal="center"/>
    </xf>
    <xf numFmtId="43" fontId="14" fillId="8" borderId="6" xfId="1" applyFont="1" applyFill="1" applyBorder="1" applyAlignment="1">
      <alignment horizontal="center"/>
    </xf>
    <xf numFmtId="168" fontId="14" fillId="3" borderId="13" xfId="1" applyNumberFormat="1" applyFont="1" applyFill="1" applyBorder="1" applyAlignment="1">
      <alignment horizontal="center"/>
    </xf>
    <xf numFmtId="0" fontId="11" fillId="4" borderId="6" xfId="0" applyFont="1" applyFill="1" applyBorder="1"/>
    <xf numFmtId="166" fontId="14" fillId="3" borderId="6" xfId="1" applyNumberFormat="1" applyFont="1" applyFill="1" applyBorder="1" applyAlignment="1">
      <alignment horizontal="center"/>
    </xf>
    <xf numFmtId="168" fontId="14" fillId="3" borderId="6" xfId="1" applyNumberFormat="1" applyFont="1" applyFill="1" applyBorder="1" applyAlignment="1">
      <alignment horizontal="center"/>
    </xf>
    <xf numFmtId="43" fontId="13" fillId="2" borderId="7" xfId="1" applyFont="1" applyFill="1" applyBorder="1" applyAlignment="1">
      <alignment horizontal="center"/>
    </xf>
    <xf numFmtId="171" fontId="13" fillId="2" borderId="14" xfId="1" applyNumberFormat="1" applyFont="1" applyFill="1" applyBorder="1" applyAlignment="1">
      <alignment horizontal="center"/>
    </xf>
    <xf numFmtId="166" fontId="13" fillId="2" borderId="15" xfId="1" applyNumberFormat="1" applyFont="1" applyFill="1" applyBorder="1" applyAlignment="1">
      <alignment horizontal="center"/>
    </xf>
    <xf numFmtId="171" fontId="13" fillId="2" borderId="6" xfId="1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8" fillId="2" borderId="0" xfId="0" applyFont="1" applyFill="1"/>
    <xf numFmtId="0" fontId="3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65" fontId="19" fillId="2" borderId="0" xfId="1" applyNumberFormat="1" applyFont="1" applyFill="1"/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/>
    <xf numFmtId="0" fontId="4" fillId="2" borderId="0" xfId="0" applyFont="1" applyFill="1" applyAlignment="1">
      <alignment horizontal="center"/>
    </xf>
    <xf numFmtId="166" fontId="23" fillId="2" borderId="1" xfId="0" applyNumberFormat="1" applyFont="1" applyFill="1" applyBorder="1" applyAlignment="1">
      <alignment horizontal="center"/>
    </xf>
    <xf numFmtId="166" fontId="23" fillId="2" borderId="2" xfId="0" applyNumberFormat="1" applyFont="1" applyFill="1" applyBorder="1" applyAlignment="1">
      <alignment horizontal="center"/>
    </xf>
    <xf numFmtId="166" fontId="23" fillId="2" borderId="3" xfId="0" applyNumberFormat="1" applyFont="1" applyFill="1" applyBorder="1"/>
    <xf numFmtId="166" fontId="23" fillId="2" borderId="2" xfId="0" applyNumberFormat="1" applyFont="1" applyFill="1" applyBorder="1"/>
    <xf numFmtId="166" fontId="23" fillId="2" borderId="16" xfId="0" applyNumberFormat="1" applyFont="1" applyFill="1" applyBorder="1" applyAlignment="1">
      <alignment horizontal="right"/>
    </xf>
    <xf numFmtId="0" fontId="21" fillId="2" borderId="0" xfId="0" applyFont="1" applyFill="1"/>
    <xf numFmtId="166" fontId="6" fillId="2" borderId="1" xfId="1" applyNumberFormat="1" applyFont="1" applyFill="1" applyBorder="1" applyAlignment="1">
      <alignment horizontal="center"/>
    </xf>
    <xf numFmtId="166" fontId="6" fillId="2" borderId="3" xfId="1" applyNumberFormat="1" applyFont="1" applyFill="1" applyBorder="1" applyAlignment="1">
      <alignment horizontal="center"/>
    </xf>
    <xf numFmtId="166" fontId="6" fillId="2" borderId="2" xfId="1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8" fontId="22" fillId="2" borderId="4" xfId="1" applyNumberFormat="1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166" fontId="23" fillId="2" borderId="17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166" fontId="23" fillId="2" borderId="1" xfId="1" applyNumberFormat="1" applyFont="1" applyFill="1" applyBorder="1" applyAlignment="1">
      <alignment horizontal="center" vertical="center"/>
    </xf>
    <xf numFmtId="165" fontId="24" fillId="2" borderId="4" xfId="1" applyNumberFormat="1" applyFont="1" applyFill="1" applyBorder="1" applyAlignment="1">
      <alignment horizontal="center" vertical="center"/>
    </xf>
    <xf numFmtId="166" fontId="23" fillId="2" borderId="2" xfId="1" applyNumberFormat="1" applyFont="1" applyFill="1" applyBorder="1" applyAlignment="1">
      <alignment horizontal="center" vertical="center"/>
    </xf>
  </cellXfs>
  <cellStyles count="3">
    <cellStyle name="Millares" xfId="1" builtinId="3"/>
    <cellStyle name="Millares 2" xfId="2" xr:uid="{2F938C41-6DEA-4C4E-BF09-6D153A6D85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2B87-0C6C-4374-B9D8-700CC436F7F3}">
  <dimension ref="C4:BB22"/>
  <sheetViews>
    <sheetView tabSelected="1" topLeftCell="A2" workbookViewId="0">
      <selection activeCell="D5" sqref="D5"/>
    </sheetView>
  </sheetViews>
  <sheetFormatPr baseColWidth="10" defaultRowHeight="15" x14ac:dyDescent="0.25"/>
  <sheetData>
    <row r="4" spans="3:54" ht="23.25" x14ac:dyDescent="0.25">
      <c r="C4" s="1" t="s">
        <v>0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 t="s">
        <v>1</v>
      </c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5"/>
      <c r="BB4" s="3"/>
    </row>
    <row r="5" spans="3:54" ht="15.75" thickBot="1" x14ac:dyDescent="0.3">
      <c r="C5" s="3"/>
      <c r="D5" s="3"/>
      <c r="E5" s="3"/>
      <c r="F5" s="6"/>
      <c r="G5" s="7"/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/>
      <c r="BB5" s="3"/>
    </row>
    <row r="6" spans="3:54" ht="18.75" thickBot="1" x14ac:dyDescent="0.3">
      <c r="C6" s="8" t="s">
        <v>2</v>
      </c>
      <c r="D6" s="3"/>
      <c r="E6" s="3"/>
      <c r="F6" s="7"/>
      <c r="G6" s="3"/>
      <c r="H6" s="3"/>
      <c r="I6" s="3"/>
      <c r="J6" s="3"/>
      <c r="K6" s="3"/>
      <c r="L6" s="3"/>
      <c r="M6" s="3"/>
      <c r="N6" s="9"/>
      <c r="O6" s="10" t="s">
        <v>3</v>
      </c>
      <c r="P6" s="11"/>
      <c r="Q6" s="12" t="s">
        <v>4</v>
      </c>
      <c r="R6" s="13"/>
      <c r="S6" s="14" t="s">
        <v>5</v>
      </c>
      <c r="T6" s="15"/>
      <c r="U6" s="16" t="s">
        <v>6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8"/>
      <c r="AY6" s="3"/>
      <c r="AZ6" s="19" t="s">
        <v>7</v>
      </c>
      <c r="BA6" s="20"/>
      <c r="BB6" s="21"/>
    </row>
    <row r="7" spans="3:54" ht="26.25" thickBot="1" x14ac:dyDescent="0.3">
      <c r="C7" s="22" t="s">
        <v>8</v>
      </c>
      <c r="D7" s="23" t="s">
        <v>9</v>
      </c>
      <c r="E7" s="24" t="s">
        <v>10</v>
      </c>
      <c r="F7" s="24" t="s">
        <v>11</v>
      </c>
      <c r="G7" s="25" t="s">
        <v>12</v>
      </c>
      <c r="H7" s="24" t="s">
        <v>13</v>
      </c>
      <c r="I7" s="24" t="s">
        <v>14</v>
      </c>
      <c r="J7" s="24" t="s">
        <v>15</v>
      </c>
      <c r="K7" s="26" t="s">
        <v>16</v>
      </c>
      <c r="L7" s="24" t="s">
        <v>17</v>
      </c>
      <c r="M7" s="25" t="s">
        <v>18</v>
      </c>
      <c r="N7" s="24" t="s">
        <v>19</v>
      </c>
      <c r="O7" s="27" t="s">
        <v>20</v>
      </c>
      <c r="P7" s="28" t="s">
        <v>21</v>
      </c>
      <c r="Q7" s="24" t="s">
        <v>22</v>
      </c>
      <c r="R7" s="28" t="s">
        <v>21</v>
      </c>
      <c r="S7" s="29" t="s">
        <v>23</v>
      </c>
      <c r="T7" s="30" t="s">
        <v>24</v>
      </c>
      <c r="U7" s="31" t="s">
        <v>22</v>
      </c>
      <c r="V7" s="32" t="s">
        <v>21</v>
      </c>
      <c r="W7" s="33" t="s">
        <v>22</v>
      </c>
      <c r="X7" s="32" t="s">
        <v>21</v>
      </c>
      <c r="Y7" s="33" t="s">
        <v>22</v>
      </c>
      <c r="Z7" s="32" t="s">
        <v>21</v>
      </c>
      <c r="AA7" s="33" t="s">
        <v>22</v>
      </c>
      <c r="AB7" s="32" t="s">
        <v>21</v>
      </c>
      <c r="AC7" s="33" t="s">
        <v>22</v>
      </c>
      <c r="AD7" s="32" t="s">
        <v>21</v>
      </c>
      <c r="AE7" s="33" t="s">
        <v>22</v>
      </c>
      <c r="AF7" s="32" t="s">
        <v>21</v>
      </c>
      <c r="AG7" s="33" t="s">
        <v>22</v>
      </c>
      <c r="AH7" s="32" t="s">
        <v>21</v>
      </c>
      <c r="AI7" s="33" t="s">
        <v>22</v>
      </c>
      <c r="AJ7" s="32" t="s">
        <v>21</v>
      </c>
      <c r="AK7" s="33" t="s">
        <v>22</v>
      </c>
      <c r="AL7" s="32" t="s">
        <v>21</v>
      </c>
      <c r="AM7" s="33" t="s">
        <v>22</v>
      </c>
      <c r="AN7" s="32" t="s">
        <v>21</v>
      </c>
      <c r="AO7" s="33" t="s">
        <v>22</v>
      </c>
      <c r="AP7" s="32" t="s">
        <v>21</v>
      </c>
      <c r="AQ7" s="33" t="s">
        <v>22</v>
      </c>
      <c r="AR7" s="32" t="s">
        <v>21</v>
      </c>
      <c r="AS7" s="33" t="s">
        <v>22</v>
      </c>
      <c r="AT7" s="32" t="s">
        <v>21</v>
      </c>
      <c r="AU7" s="33" t="s">
        <v>22</v>
      </c>
      <c r="AV7" s="32" t="s">
        <v>21</v>
      </c>
      <c r="AW7" s="33" t="s">
        <v>22</v>
      </c>
      <c r="AX7" s="32" t="s">
        <v>21</v>
      </c>
      <c r="AY7" s="34" t="s">
        <v>25</v>
      </c>
      <c r="AZ7" s="35" t="s">
        <v>26</v>
      </c>
      <c r="BA7" s="36" t="s">
        <v>27</v>
      </c>
      <c r="BB7" s="35" t="s">
        <v>28</v>
      </c>
    </row>
    <row r="8" spans="3:54" x14ac:dyDescent="0.25">
      <c r="C8" s="37" t="s">
        <v>29</v>
      </c>
      <c r="D8" s="38" t="s">
        <v>30</v>
      </c>
      <c r="E8" s="39" t="s">
        <v>31</v>
      </c>
      <c r="F8" s="40">
        <v>32804</v>
      </c>
      <c r="G8" s="39">
        <v>47917</v>
      </c>
      <c r="H8" s="41" t="s">
        <v>32</v>
      </c>
      <c r="I8" s="41" t="s">
        <v>33</v>
      </c>
      <c r="J8" s="42" t="s">
        <v>34</v>
      </c>
      <c r="K8" s="43" t="s">
        <v>35</v>
      </c>
      <c r="L8" s="44" t="s">
        <v>36</v>
      </c>
      <c r="M8" s="45" t="s">
        <v>37</v>
      </c>
      <c r="N8" s="46">
        <v>3</v>
      </c>
      <c r="O8" s="41"/>
      <c r="P8" s="41"/>
      <c r="Q8" s="47">
        <f t="shared" ref="Q8:Q22" si="0">+N8+O8</f>
        <v>3</v>
      </c>
      <c r="R8" s="48"/>
      <c r="S8" s="49">
        <f t="shared" ref="S8:S22" si="1">+O8+Q8</f>
        <v>3</v>
      </c>
      <c r="T8" s="49"/>
      <c r="U8" s="50">
        <v>1</v>
      </c>
      <c r="V8" s="51">
        <v>31920</v>
      </c>
      <c r="W8" s="52">
        <v>1</v>
      </c>
      <c r="X8" s="51">
        <v>31957</v>
      </c>
      <c r="Y8" s="52"/>
      <c r="Z8" s="51"/>
      <c r="AA8" s="52"/>
      <c r="AB8" s="51"/>
      <c r="AC8" s="52"/>
      <c r="AD8" s="51"/>
      <c r="AE8" s="52"/>
      <c r="AF8" s="51"/>
      <c r="AG8" s="52"/>
      <c r="AH8" s="51"/>
      <c r="AI8" s="52"/>
      <c r="AJ8" s="51"/>
      <c r="AK8" s="52"/>
      <c r="AL8" s="51"/>
      <c r="AM8" s="52"/>
      <c r="AN8" s="51"/>
      <c r="AO8" s="52"/>
      <c r="AP8" s="51"/>
      <c r="AQ8" s="52"/>
      <c r="AR8" s="51"/>
      <c r="AS8" s="52"/>
      <c r="AT8" s="51"/>
      <c r="AU8" s="52"/>
      <c r="AV8" s="51"/>
      <c r="AW8" s="52"/>
      <c r="AX8" s="51"/>
      <c r="AY8" s="53">
        <f t="shared" ref="AY8:AY22" si="2">+AS8+AQ8+AO8+AM8+AK8+AI8+AG8+AE8+AC8+AA8+Y8+W8+U8+AU8+AW8</f>
        <v>2</v>
      </c>
      <c r="AZ8" s="47">
        <f t="shared" ref="AZ8:AZ22" si="3">+Q8-AY8</f>
        <v>1</v>
      </c>
      <c r="BA8" s="46">
        <v>1</v>
      </c>
      <c r="BB8" s="47">
        <f t="shared" ref="BB8:BB22" si="4">+BA8-AZ8</f>
        <v>0</v>
      </c>
    </row>
    <row r="9" spans="3:54" x14ac:dyDescent="0.25">
      <c r="C9" s="37" t="s">
        <v>29</v>
      </c>
      <c r="D9" s="38" t="s">
        <v>30</v>
      </c>
      <c r="E9" s="39" t="s">
        <v>31</v>
      </c>
      <c r="F9" s="40">
        <v>32804</v>
      </c>
      <c r="G9" s="39">
        <v>47917</v>
      </c>
      <c r="H9" s="41" t="s">
        <v>32</v>
      </c>
      <c r="I9" s="41" t="s">
        <v>33</v>
      </c>
      <c r="J9" s="42" t="s">
        <v>34</v>
      </c>
      <c r="K9" s="43" t="s">
        <v>38</v>
      </c>
      <c r="L9" s="44" t="s">
        <v>36</v>
      </c>
      <c r="M9" s="45">
        <v>0</v>
      </c>
      <c r="N9" s="46">
        <v>0</v>
      </c>
      <c r="O9" s="41"/>
      <c r="P9" s="41"/>
      <c r="Q9" s="47">
        <f t="shared" si="0"/>
        <v>0</v>
      </c>
      <c r="R9" s="48"/>
      <c r="S9" s="49">
        <f t="shared" si="1"/>
        <v>0</v>
      </c>
      <c r="T9" s="49"/>
      <c r="U9" s="50"/>
      <c r="V9" s="51"/>
      <c r="W9" s="52"/>
      <c r="X9" s="51"/>
      <c r="Y9" s="52"/>
      <c r="Z9" s="51"/>
      <c r="AA9" s="52"/>
      <c r="AB9" s="51"/>
      <c r="AC9" s="52"/>
      <c r="AD9" s="51"/>
      <c r="AE9" s="52"/>
      <c r="AF9" s="51"/>
      <c r="AG9" s="52"/>
      <c r="AH9" s="51"/>
      <c r="AI9" s="52"/>
      <c r="AJ9" s="51"/>
      <c r="AK9" s="52"/>
      <c r="AL9" s="51"/>
      <c r="AM9" s="52"/>
      <c r="AN9" s="51"/>
      <c r="AO9" s="52"/>
      <c r="AP9" s="51"/>
      <c r="AQ9" s="52"/>
      <c r="AR9" s="51"/>
      <c r="AS9" s="52"/>
      <c r="AT9" s="51"/>
      <c r="AU9" s="52"/>
      <c r="AV9" s="51"/>
      <c r="AW9" s="52"/>
      <c r="AX9" s="51"/>
      <c r="AY9" s="53">
        <f t="shared" si="2"/>
        <v>0</v>
      </c>
      <c r="AZ9" s="47">
        <f t="shared" si="3"/>
        <v>0</v>
      </c>
      <c r="BA9" s="46">
        <v>0</v>
      </c>
      <c r="BB9" s="47">
        <f t="shared" si="4"/>
        <v>0</v>
      </c>
    </row>
    <row r="10" spans="3:54" x14ac:dyDescent="0.25">
      <c r="C10" s="37" t="s">
        <v>39</v>
      </c>
      <c r="D10" s="38" t="s">
        <v>30</v>
      </c>
      <c r="E10" s="39" t="s">
        <v>31</v>
      </c>
      <c r="F10" s="40">
        <v>32804</v>
      </c>
      <c r="G10" s="39">
        <v>47917</v>
      </c>
      <c r="H10" s="41" t="s">
        <v>32</v>
      </c>
      <c r="I10" s="41" t="s">
        <v>33</v>
      </c>
      <c r="J10" s="42" t="s">
        <v>34</v>
      </c>
      <c r="K10" s="43" t="s">
        <v>40</v>
      </c>
      <c r="L10" s="44" t="s">
        <v>36</v>
      </c>
      <c r="M10" s="45" t="s">
        <v>37</v>
      </c>
      <c r="N10" s="46">
        <v>1</v>
      </c>
      <c r="O10" s="41"/>
      <c r="P10" s="41"/>
      <c r="Q10" s="47">
        <f t="shared" si="0"/>
        <v>1</v>
      </c>
      <c r="R10" s="48"/>
      <c r="S10" s="49">
        <f t="shared" si="1"/>
        <v>1</v>
      </c>
      <c r="T10" s="49"/>
      <c r="U10" s="50"/>
      <c r="V10" s="51"/>
      <c r="W10" s="52"/>
      <c r="X10" s="51"/>
      <c r="Y10" s="52"/>
      <c r="Z10" s="51"/>
      <c r="AA10" s="52"/>
      <c r="AB10" s="51"/>
      <c r="AC10" s="52"/>
      <c r="AD10" s="51"/>
      <c r="AE10" s="52"/>
      <c r="AF10" s="51"/>
      <c r="AG10" s="52"/>
      <c r="AH10" s="51"/>
      <c r="AI10" s="52"/>
      <c r="AJ10" s="51"/>
      <c r="AK10" s="52"/>
      <c r="AL10" s="51"/>
      <c r="AM10" s="52"/>
      <c r="AN10" s="51"/>
      <c r="AO10" s="52"/>
      <c r="AP10" s="51"/>
      <c r="AQ10" s="52"/>
      <c r="AR10" s="51"/>
      <c r="AS10" s="52"/>
      <c r="AT10" s="51"/>
      <c r="AU10" s="52"/>
      <c r="AV10" s="51"/>
      <c r="AW10" s="52"/>
      <c r="AX10" s="51"/>
      <c r="AY10" s="53">
        <f t="shared" si="2"/>
        <v>0</v>
      </c>
      <c r="AZ10" s="47">
        <f t="shared" si="3"/>
        <v>1</v>
      </c>
      <c r="BA10" s="46">
        <v>1</v>
      </c>
      <c r="BB10" s="47">
        <f t="shared" si="4"/>
        <v>0</v>
      </c>
    </row>
    <row r="11" spans="3:54" x14ac:dyDescent="0.25">
      <c r="C11" s="37" t="s">
        <v>41</v>
      </c>
      <c r="D11" s="38" t="s">
        <v>42</v>
      </c>
      <c r="E11" s="39" t="s">
        <v>31</v>
      </c>
      <c r="F11" s="40">
        <v>32804</v>
      </c>
      <c r="G11" s="39">
        <v>47917</v>
      </c>
      <c r="H11" s="41" t="s">
        <v>32</v>
      </c>
      <c r="I11" s="41" t="s">
        <v>33</v>
      </c>
      <c r="J11" s="42" t="s">
        <v>34</v>
      </c>
      <c r="K11" s="43" t="s">
        <v>43</v>
      </c>
      <c r="L11" s="44" t="s">
        <v>36</v>
      </c>
      <c r="M11" s="45" t="s">
        <v>44</v>
      </c>
      <c r="N11" s="46">
        <v>100</v>
      </c>
      <c r="O11" s="41"/>
      <c r="P11" s="41"/>
      <c r="Q11" s="47">
        <f t="shared" si="0"/>
        <v>100</v>
      </c>
      <c r="R11" s="48"/>
      <c r="S11" s="49">
        <f t="shared" si="1"/>
        <v>100</v>
      </c>
      <c r="T11" s="49"/>
      <c r="U11" s="50"/>
      <c r="V11" s="51"/>
      <c r="W11" s="52"/>
      <c r="X11" s="51"/>
      <c r="Y11" s="52"/>
      <c r="Z11" s="51"/>
      <c r="AA11" s="52"/>
      <c r="AB11" s="51"/>
      <c r="AC11" s="52"/>
      <c r="AD11" s="51"/>
      <c r="AE11" s="52"/>
      <c r="AF11" s="51"/>
      <c r="AG11" s="52"/>
      <c r="AH11" s="51"/>
      <c r="AI11" s="52"/>
      <c r="AJ11" s="51"/>
      <c r="AK11" s="52"/>
      <c r="AL11" s="51"/>
      <c r="AM11" s="52"/>
      <c r="AN11" s="51"/>
      <c r="AO11" s="52"/>
      <c r="AP11" s="51"/>
      <c r="AQ11" s="52"/>
      <c r="AR11" s="51"/>
      <c r="AS11" s="52"/>
      <c r="AT11" s="51"/>
      <c r="AU11" s="52"/>
      <c r="AV11" s="51"/>
      <c r="AW11" s="52"/>
      <c r="AX11" s="51"/>
      <c r="AY11" s="53">
        <f t="shared" si="2"/>
        <v>0</v>
      </c>
      <c r="AZ11" s="47">
        <f t="shared" si="3"/>
        <v>100</v>
      </c>
      <c r="BA11" s="46">
        <v>100</v>
      </c>
      <c r="BB11" s="47">
        <f t="shared" si="4"/>
        <v>0</v>
      </c>
    </row>
    <row r="12" spans="3:54" x14ac:dyDescent="0.25">
      <c r="C12" s="37" t="s">
        <v>45</v>
      </c>
      <c r="D12" s="38" t="s">
        <v>46</v>
      </c>
      <c r="E12" s="39" t="s">
        <v>31</v>
      </c>
      <c r="F12" s="40">
        <v>32804</v>
      </c>
      <c r="G12" s="39">
        <v>47917</v>
      </c>
      <c r="H12" s="41" t="s">
        <v>32</v>
      </c>
      <c r="I12" s="41" t="s">
        <v>33</v>
      </c>
      <c r="J12" s="42" t="s">
        <v>34</v>
      </c>
      <c r="K12" s="43" t="s">
        <v>47</v>
      </c>
      <c r="L12" s="44" t="s">
        <v>36</v>
      </c>
      <c r="M12" s="45" t="s">
        <v>37</v>
      </c>
      <c r="N12" s="46">
        <v>25</v>
      </c>
      <c r="O12" s="41"/>
      <c r="P12" s="41"/>
      <c r="Q12" s="47">
        <f t="shared" si="0"/>
        <v>25</v>
      </c>
      <c r="R12" s="48"/>
      <c r="S12" s="49">
        <f t="shared" si="1"/>
        <v>25</v>
      </c>
      <c r="T12" s="49"/>
      <c r="U12" s="50"/>
      <c r="V12" s="51"/>
      <c r="W12" s="52"/>
      <c r="X12" s="51"/>
      <c r="Y12" s="52"/>
      <c r="Z12" s="51"/>
      <c r="AA12" s="52"/>
      <c r="AB12" s="51"/>
      <c r="AC12" s="52"/>
      <c r="AD12" s="51"/>
      <c r="AE12" s="52"/>
      <c r="AF12" s="51"/>
      <c r="AG12" s="52"/>
      <c r="AH12" s="51"/>
      <c r="AI12" s="52"/>
      <c r="AJ12" s="51"/>
      <c r="AK12" s="52"/>
      <c r="AL12" s="51"/>
      <c r="AM12" s="52"/>
      <c r="AN12" s="51"/>
      <c r="AO12" s="52"/>
      <c r="AP12" s="51"/>
      <c r="AQ12" s="52"/>
      <c r="AR12" s="51"/>
      <c r="AS12" s="52"/>
      <c r="AT12" s="51"/>
      <c r="AU12" s="52"/>
      <c r="AV12" s="51"/>
      <c r="AW12" s="52"/>
      <c r="AX12" s="51"/>
      <c r="AY12" s="53">
        <f t="shared" si="2"/>
        <v>0</v>
      </c>
      <c r="AZ12" s="47">
        <f t="shared" si="3"/>
        <v>25</v>
      </c>
      <c r="BA12" s="46">
        <v>25</v>
      </c>
      <c r="BB12" s="47">
        <f t="shared" si="4"/>
        <v>0</v>
      </c>
    </row>
    <row r="13" spans="3:54" x14ac:dyDescent="0.25">
      <c r="C13" s="37" t="s">
        <v>48</v>
      </c>
      <c r="D13" s="38" t="s">
        <v>49</v>
      </c>
      <c r="E13" s="39" t="s">
        <v>31</v>
      </c>
      <c r="F13" s="40">
        <v>32804</v>
      </c>
      <c r="G13" s="39">
        <v>47917</v>
      </c>
      <c r="H13" s="41" t="s">
        <v>32</v>
      </c>
      <c r="I13" s="41" t="s">
        <v>33</v>
      </c>
      <c r="J13" s="42" t="s">
        <v>34</v>
      </c>
      <c r="K13" s="43" t="s">
        <v>50</v>
      </c>
      <c r="L13" s="44" t="s">
        <v>36</v>
      </c>
      <c r="M13" s="45" t="s">
        <v>37</v>
      </c>
      <c r="N13" s="46">
        <v>4</v>
      </c>
      <c r="O13" s="41"/>
      <c r="P13" s="41"/>
      <c r="Q13" s="47">
        <f t="shared" si="0"/>
        <v>4</v>
      </c>
      <c r="R13" s="48"/>
      <c r="S13" s="49">
        <f t="shared" si="1"/>
        <v>4</v>
      </c>
      <c r="T13" s="49"/>
      <c r="U13" s="50">
        <v>1</v>
      </c>
      <c r="V13" s="51">
        <v>31915</v>
      </c>
      <c r="W13" s="52"/>
      <c r="X13" s="51"/>
      <c r="Y13" s="52"/>
      <c r="Z13" s="51"/>
      <c r="AA13" s="52"/>
      <c r="AB13" s="51"/>
      <c r="AC13" s="52"/>
      <c r="AD13" s="51"/>
      <c r="AE13" s="52"/>
      <c r="AF13" s="51"/>
      <c r="AG13" s="52"/>
      <c r="AH13" s="51"/>
      <c r="AI13" s="52"/>
      <c r="AJ13" s="51"/>
      <c r="AK13" s="52"/>
      <c r="AL13" s="51"/>
      <c r="AM13" s="52"/>
      <c r="AN13" s="51"/>
      <c r="AO13" s="52"/>
      <c r="AP13" s="51"/>
      <c r="AQ13" s="52"/>
      <c r="AR13" s="51"/>
      <c r="AS13" s="52"/>
      <c r="AT13" s="51"/>
      <c r="AU13" s="52"/>
      <c r="AV13" s="51"/>
      <c r="AW13" s="52"/>
      <c r="AX13" s="51"/>
      <c r="AY13" s="53">
        <f t="shared" si="2"/>
        <v>1</v>
      </c>
      <c r="AZ13" s="47">
        <f t="shared" si="3"/>
        <v>3</v>
      </c>
      <c r="BA13" s="46">
        <v>3</v>
      </c>
      <c r="BB13" s="47">
        <f t="shared" si="4"/>
        <v>0</v>
      </c>
    </row>
    <row r="14" spans="3:54" x14ac:dyDescent="0.25">
      <c r="C14" s="37" t="s">
        <v>51</v>
      </c>
      <c r="D14" s="38" t="s">
        <v>49</v>
      </c>
      <c r="E14" s="39" t="s">
        <v>31</v>
      </c>
      <c r="F14" s="40">
        <v>32805</v>
      </c>
      <c r="G14" s="39">
        <v>47917</v>
      </c>
      <c r="H14" s="41" t="s">
        <v>32</v>
      </c>
      <c r="I14" s="41" t="s">
        <v>33</v>
      </c>
      <c r="J14" s="42" t="s">
        <v>34</v>
      </c>
      <c r="K14" s="43" t="s">
        <v>52</v>
      </c>
      <c r="L14" s="44" t="s">
        <v>36</v>
      </c>
      <c r="M14" s="45" t="s">
        <v>37</v>
      </c>
      <c r="N14" s="46">
        <v>6</v>
      </c>
      <c r="O14" s="41"/>
      <c r="P14" s="41"/>
      <c r="Q14" s="47">
        <f t="shared" si="0"/>
        <v>6</v>
      </c>
      <c r="R14" s="48"/>
      <c r="S14" s="49">
        <f t="shared" si="1"/>
        <v>6</v>
      </c>
      <c r="T14" s="49"/>
      <c r="U14" s="50"/>
      <c r="V14" s="51"/>
      <c r="W14" s="52"/>
      <c r="X14" s="51"/>
      <c r="Y14" s="52"/>
      <c r="Z14" s="51"/>
      <c r="AA14" s="52"/>
      <c r="AB14" s="51"/>
      <c r="AC14" s="52"/>
      <c r="AD14" s="51"/>
      <c r="AE14" s="52"/>
      <c r="AF14" s="51"/>
      <c r="AG14" s="52"/>
      <c r="AH14" s="51"/>
      <c r="AI14" s="52"/>
      <c r="AJ14" s="51"/>
      <c r="AK14" s="52"/>
      <c r="AL14" s="51"/>
      <c r="AM14" s="52"/>
      <c r="AN14" s="51"/>
      <c r="AO14" s="52"/>
      <c r="AP14" s="51"/>
      <c r="AQ14" s="52"/>
      <c r="AR14" s="51"/>
      <c r="AS14" s="52"/>
      <c r="AT14" s="51"/>
      <c r="AU14" s="52"/>
      <c r="AV14" s="51"/>
      <c r="AW14" s="52"/>
      <c r="AX14" s="51"/>
      <c r="AY14" s="53">
        <f t="shared" si="2"/>
        <v>0</v>
      </c>
      <c r="AZ14" s="47">
        <f t="shared" si="3"/>
        <v>6</v>
      </c>
      <c r="BA14" s="46">
        <v>6</v>
      </c>
      <c r="BB14" s="47">
        <f t="shared" si="4"/>
        <v>0</v>
      </c>
    </row>
    <row r="15" spans="3:54" x14ac:dyDescent="0.25">
      <c r="C15" s="37"/>
      <c r="D15" s="38"/>
      <c r="E15" s="39" t="s">
        <v>31</v>
      </c>
      <c r="F15" s="40">
        <v>32806</v>
      </c>
      <c r="G15" s="54">
        <v>0</v>
      </c>
      <c r="H15" s="55" t="s">
        <v>53</v>
      </c>
      <c r="I15" s="55" t="s">
        <v>53</v>
      </c>
      <c r="J15" s="55" t="s">
        <v>53</v>
      </c>
      <c r="K15" s="55" t="s">
        <v>53</v>
      </c>
      <c r="L15" s="55" t="s">
        <v>53</v>
      </c>
      <c r="M15" s="56">
        <v>0</v>
      </c>
      <c r="N15" s="57">
        <v>0</v>
      </c>
      <c r="O15" s="41"/>
      <c r="P15" s="41"/>
      <c r="Q15" s="47">
        <f t="shared" si="0"/>
        <v>0</v>
      </c>
      <c r="R15" s="48"/>
      <c r="S15" s="49">
        <f t="shared" si="1"/>
        <v>0</v>
      </c>
      <c r="T15" s="49"/>
      <c r="U15" s="50"/>
      <c r="V15" s="51"/>
      <c r="W15" s="52"/>
      <c r="X15" s="51"/>
      <c r="Y15" s="52"/>
      <c r="Z15" s="51"/>
      <c r="AA15" s="52"/>
      <c r="AB15" s="51"/>
      <c r="AC15" s="52"/>
      <c r="AD15" s="51"/>
      <c r="AE15" s="52"/>
      <c r="AF15" s="51"/>
      <c r="AG15" s="52"/>
      <c r="AH15" s="51"/>
      <c r="AI15" s="52"/>
      <c r="AJ15" s="51"/>
      <c r="AK15" s="52"/>
      <c r="AL15" s="51"/>
      <c r="AM15" s="52"/>
      <c r="AN15" s="51"/>
      <c r="AO15" s="52"/>
      <c r="AP15" s="51"/>
      <c r="AQ15" s="52"/>
      <c r="AR15" s="51"/>
      <c r="AS15" s="52"/>
      <c r="AT15" s="51"/>
      <c r="AU15" s="52"/>
      <c r="AV15" s="51"/>
      <c r="AW15" s="52"/>
      <c r="AX15" s="51"/>
      <c r="AY15" s="53">
        <f t="shared" si="2"/>
        <v>0</v>
      </c>
      <c r="AZ15" s="47">
        <f t="shared" si="3"/>
        <v>0</v>
      </c>
      <c r="BA15" s="57">
        <v>0</v>
      </c>
      <c r="BB15" s="47">
        <f t="shared" si="4"/>
        <v>0</v>
      </c>
    </row>
    <row r="16" spans="3:54" x14ac:dyDescent="0.25">
      <c r="C16" s="37" t="s">
        <v>54</v>
      </c>
      <c r="D16" s="38" t="s">
        <v>55</v>
      </c>
      <c r="E16" s="39" t="s">
        <v>31</v>
      </c>
      <c r="F16" s="40">
        <v>32807</v>
      </c>
      <c r="G16" s="39">
        <v>47918</v>
      </c>
      <c r="H16" s="41" t="s">
        <v>32</v>
      </c>
      <c r="I16" s="41" t="s">
        <v>56</v>
      </c>
      <c r="J16" s="42" t="s">
        <v>34</v>
      </c>
      <c r="K16" s="43" t="s">
        <v>57</v>
      </c>
      <c r="L16" s="44" t="s">
        <v>58</v>
      </c>
      <c r="M16" s="45" t="s">
        <v>37</v>
      </c>
      <c r="N16" s="46">
        <v>2</v>
      </c>
      <c r="O16" s="41"/>
      <c r="P16" s="41"/>
      <c r="Q16" s="47">
        <f t="shared" si="0"/>
        <v>2</v>
      </c>
      <c r="R16" s="48"/>
      <c r="S16" s="49">
        <f t="shared" si="1"/>
        <v>2</v>
      </c>
      <c r="T16" s="49"/>
      <c r="U16" s="50"/>
      <c r="V16" s="51"/>
      <c r="W16" s="52"/>
      <c r="X16" s="51"/>
      <c r="Y16" s="52"/>
      <c r="Z16" s="51"/>
      <c r="AA16" s="52"/>
      <c r="AB16" s="51"/>
      <c r="AC16" s="52"/>
      <c r="AD16" s="51"/>
      <c r="AE16" s="52"/>
      <c r="AF16" s="51"/>
      <c r="AG16" s="52"/>
      <c r="AH16" s="51"/>
      <c r="AI16" s="52"/>
      <c r="AJ16" s="51"/>
      <c r="AK16" s="52"/>
      <c r="AL16" s="51"/>
      <c r="AM16" s="52"/>
      <c r="AN16" s="51"/>
      <c r="AO16" s="52"/>
      <c r="AP16" s="51"/>
      <c r="AQ16" s="52"/>
      <c r="AR16" s="51"/>
      <c r="AS16" s="52"/>
      <c r="AT16" s="51"/>
      <c r="AU16" s="52"/>
      <c r="AV16" s="51"/>
      <c r="AW16" s="52"/>
      <c r="AX16" s="51"/>
      <c r="AY16" s="53">
        <f t="shared" si="2"/>
        <v>0</v>
      </c>
      <c r="AZ16" s="47">
        <f t="shared" si="3"/>
        <v>2</v>
      </c>
      <c r="BA16" s="46">
        <v>2</v>
      </c>
      <c r="BB16" s="47">
        <f t="shared" si="4"/>
        <v>0</v>
      </c>
    </row>
    <row r="17" spans="3:54" x14ac:dyDescent="0.25">
      <c r="C17" s="37" t="s">
        <v>54</v>
      </c>
      <c r="D17" s="38" t="s">
        <v>55</v>
      </c>
      <c r="E17" s="39" t="s">
        <v>31</v>
      </c>
      <c r="F17" s="40">
        <v>32807</v>
      </c>
      <c r="G17" s="39">
        <v>47918</v>
      </c>
      <c r="H17" s="41" t="s">
        <v>32</v>
      </c>
      <c r="I17" s="41" t="s">
        <v>56</v>
      </c>
      <c r="J17" s="42" t="s">
        <v>34</v>
      </c>
      <c r="K17" s="43" t="s">
        <v>59</v>
      </c>
      <c r="L17" s="44" t="s">
        <v>58</v>
      </c>
      <c r="M17" s="45">
        <v>0</v>
      </c>
      <c r="N17" s="46">
        <v>0</v>
      </c>
      <c r="O17" s="41"/>
      <c r="P17" s="41"/>
      <c r="Q17" s="47">
        <f t="shared" si="0"/>
        <v>0</v>
      </c>
      <c r="R17" s="48"/>
      <c r="S17" s="49">
        <f t="shared" si="1"/>
        <v>0</v>
      </c>
      <c r="T17" s="49"/>
      <c r="U17" s="50"/>
      <c r="V17" s="51"/>
      <c r="W17" s="52"/>
      <c r="X17" s="51"/>
      <c r="Y17" s="52"/>
      <c r="Z17" s="51"/>
      <c r="AA17" s="52"/>
      <c r="AB17" s="51"/>
      <c r="AC17" s="52"/>
      <c r="AD17" s="51"/>
      <c r="AE17" s="52"/>
      <c r="AF17" s="51"/>
      <c r="AG17" s="52"/>
      <c r="AH17" s="51"/>
      <c r="AI17" s="52"/>
      <c r="AJ17" s="51"/>
      <c r="AK17" s="52"/>
      <c r="AL17" s="51"/>
      <c r="AM17" s="52"/>
      <c r="AN17" s="51"/>
      <c r="AO17" s="52"/>
      <c r="AP17" s="51"/>
      <c r="AQ17" s="52"/>
      <c r="AR17" s="51"/>
      <c r="AS17" s="52"/>
      <c r="AT17" s="51"/>
      <c r="AU17" s="52"/>
      <c r="AV17" s="51"/>
      <c r="AW17" s="52"/>
      <c r="AX17" s="51"/>
      <c r="AY17" s="53">
        <f t="shared" si="2"/>
        <v>0</v>
      </c>
      <c r="AZ17" s="47">
        <f t="shared" si="3"/>
        <v>0</v>
      </c>
      <c r="BA17" s="46">
        <v>0</v>
      </c>
      <c r="BB17" s="47">
        <f t="shared" si="4"/>
        <v>0</v>
      </c>
    </row>
    <row r="18" spans="3:54" x14ac:dyDescent="0.25">
      <c r="C18" s="37" t="s">
        <v>60</v>
      </c>
      <c r="D18" s="38" t="s">
        <v>61</v>
      </c>
      <c r="E18" s="39" t="s">
        <v>31</v>
      </c>
      <c r="F18" s="40">
        <v>32807</v>
      </c>
      <c r="G18" s="39">
        <v>47918</v>
      </c>
      <c r="H18" s="41" t="s">
        <v>32</v>
      </c>
      <c r="I18" s="41" t="s">
        <v>56</v>
      </c>
      <c r="J18" s="42" t="s">
        <v>34</v>
      </c>
      <c r="K18" s="43" t="s">
        <v>62</v>
      </c>
      <c r="L18" s="44" t="s">
        <v>58</v>
      </c>
      <c r="M18" s="45" t="s">
        <v>37</v>
      </c>
      <c r="N18" s="46">
        <v>4</v>
      </c>
      <c r="O18" s="41"/>
      <c r="P18" s="41"/>
      <c r="Q18" s="47">
        <f t="shared" si="0"/>
        <v>4</v>
      </c>
      <c r="R18" s="48"/>
      <c r="S18" s="49">
        <f t="shared" si="1"/>
        <v>4</v>
      </c>
      <c r="T18" s="49"/>
      <c r="U18" s="50"/>
      <c r="V18" s="51"/>
      <c r="W18" s="52"/>
      <c r="X18" s="51"/>
      <c r="Y18" s="52"/>
      <c r="Z18" s="51"/>
      <c r="AA18" s="52"/>
      <c r="AB18" s="51"/>
      <c r="AC18" s="52"/>
      <c r="AD18" s="51"/>
      <c r="AE18" s="52"/>
      <c r="AF18" s="51"/>
      <c r="AG18" s="52"/>
      <c r="AH18" s="51"/>
      <c r="AI18" s="52"/>
      <c r="AJ18" s="51"/>
      <c r="AK18" s="52"/>
      <c r="AL18" s="51"/>
      <c r="AM18" s="52"/>
      <c r="AN18" s="51"/>
      <c r="AO18" s="52"/>
      <c r="AP18" s="51"/>
      <c r="AQ18" s="52"/>
      <c r="AR18" s="51"/>
      <c r="AS18" s="52"/>
      <c r="AT18" s="51"/>
      <c r="AU18" s="52"/>
      <c r="AV18" s="51"/>
      <c r="AW18" s="52"/>
      <c r="AX18" s="51"/>
      <c r="AY18" s="53">
        <f t="shared" si="2"/>
        <v>0</v>
      </c>
      <c r="AZ18" s="47">
        <f t="shared" si="3"/>
        <v>4</v>
      </c>
      <c r="BA18" s="46">
        <v>4</v>
      </c>
      <c r="BB18" s="47">
        <f t="shared" si="4"/>
        <v>0</v>
      </c>
    </row>
    <row r="19" spans="3:54" x14ac:dyDescent="0.25">
      <c r="C19" s="37" t="s">
        <v>63</v>
      </c>
      <c r="D19" s="38" t="s">
        <v>64</v>
      </c>
      <c r="E19" s="39" t="s">
        <v>31</v>
      </c>
      <c r="F19" s="40">
        <v>32807</v>
      </c>
      <c r="G19" s="39">
        <v>47918</v>
      </c>
      <c r="H19" s="41" t="s">
        <v>32</v>
      </c>
      <c r="I19" s="41" t="s">
        <v>56</v>
      </c>
      <c r="J19" s="42" t="s">
        <v>34</v>
      </c>
      <c r="K19" s="43" t="s">
        <v>65</v>
      </c>
      <c r="L19" s="44" t="s">
        <v>58</v>
      </c>
      <c r="M19" s="45" t="s">
        <v>37</v>
      </c>
      <c r="N19" s="46">
        <v>3</v>
      </c>
      <c r="O19" s="41"/>
      <c r="P19" s="41"/>
      <c r="Q19" s="47">
        <f t="shared" si="0"/>
        <v>3</v>
      </c>
      <c r="R19" s="48"/>
      <c r="S19" s="49">
        <f t="shared" si="1"/>
        <v>3</v>
      </c>
      <c r="T19" s="49"/>
      <c r="U19" s="50"/>
      <c r="V19" s="51"/>
      <c r="W19" s="52"/>
      <c r="X19" s="51"/>
      <c r="Y19" s="52"/>
      <c r="Z19" s="51"/>
      <c r="AA19" s="52"/>
      <c r="AB19" s="51"/>
      <c r="AC19" s="52"/>
      <c r="AD19" s="51"/>
      <c r="AE19" s="52"/>
      <c r="AF19" s="51"/>
      <c r="AG19" s="52"/>
      <c r="AH19" s="51"/>
      <c r="AI19" s="52"/>
      <c r="AJ19" s="51"/>
      <c r="AK19" s="52"/>
      <c r="AL19" s="51"/>
      <c r="AM19" s="52"/>
      <c r="AN19" s="51"/>
      <c r="AO19" s="52"/>
      <c r="AP19" s="51"/>
      <c r="AQ19" s="52"/>
      <c r="AR19" s="51"/>
      <c r="AS19" s="52"/>
      <c r="AT19" s="51"/>
      <c r="AU19" s="52"/>
      <c r="AV19" s="51"/>
      <c r="AW19" s="52"/>
      <c r="AX19" s="51"/>
      <c r="AY19" s="53">
        <f t="shared" si="2"/>
        <v>0</v>
      </c>
      <c r="AZ19" s="47">
        <f t="shared" si="3"/>
        <v>3</v>
      </c>
      <c r="BA19" s="46">
        <v>3</v>
      </c>
      <c r="BB19" s="47">
        <f t="shared" si="4"/>
        <v>0</v>
      </c>
    </row>
    <row r="20" spans="3:54" x14ac:dyDescent="0.25">
      <c r="C20" s="37" t="s">
        <v>66</v>
      </c>
      <c r="D20" s="38" t="s">
        <v>67</v>
      </c>
      <c r="E20" s="39" t="s">
        <v>68</v>
      </c>
      <c r="F20" s="40">
        <v>32808</v>
      </c>
      <c r="G20" s="39">
        <v>47916</v>
      </c>
      <c r="H20" s="41" t="s">
        <v>32</v>
      </c>
      <c r="I20" s="41" t="s">
        <v>69</v>
      </c>
      <c r="J20" s="42" t="s">
        <v>70</v>
      </c>
      <c r="K20" s="43" t="s">
        <v>71</v>
      </c>
      <c r="L20" s="44" t="s">
        <v>72</v>
      </c>
      <c r="M20" s="45" t="s">
        <v>37</v>
      </c>
      <c r="N20" s="46">
        <v>2</v>
      </c>
      <c r="O20" s="41"/>
      <c r="P20" s="41"/>
      <c r="Q20" s="47">
        <f t="shared" si="0"/>
        <v>2</v>
      </c>
      <c r="R20" s="48"/>
      <c r="S20" s="49">
        <f t="shared" si="1"/>
        <v>2</v>
      </c>
      <c r="T20" s="49"/>
      <c r="U20" s="50"/>
      <c r="V20" s="51"/>
      <c r="W20" s="52"/>
      <c r="X20" s="51"/>
      <c r="Y20" s="52"/>
      <c r="Z20" s="51"/>
      <c r="AA20" s="52"/>
      <c r="AB20" s="51"/>
      <c r="AC20" s="52"/>
      <c r="AD20" s="51"/>
      <c r="AE20" s="52"/>
      <c r="AF20" s="51"/>
      <c r="AG20" s="52"/>
      <c r="AH20" s="51"/>
      <c r="AI20" s="52"/>
      <c r="AJ20" s="51"/>
      <c r="AK20" s="52"/>
      <c r="AL20" s="51"/>
      <c r="AM20" s="52"/>
      <c r="AN20" s="51"/>
      <c r="AO20" s="52"/>
      <c r="AP20" s="51"/>
      <c r="AQ20" s="52"/>
      <c r="AR20" s="51"/>
      <c r="AS20" s="52"/>
      <c r="AT20" s="51"/>
      <c r="AU20" s="52"/>
      <c r="AV20" s="51"/>
      <c r="AW20" s="52"/>
      <c r="AX20" s="51"/>
      <c r="AY20" s="53">
        <f t="shared" si="2"/>
        <v>0</v>
      </c>
      <c r="AZ20" s="47">
        <f t="shared" si="3"/>
        <v>2</v>
      </c>
      <c r="BA20" s="46">
        <v>2</v>
      </c>
      <c r="BB20" s="47">
        <f t="shared" si="4"/>
        <v>0</v>
      </c>
    </row>
    <row r="21" spans="3:54" x14ac:dyDescent="0.25">
      <c r="C21" s="37" t="s">
        <v>73</v>
      </c>
      <c r="D21" s="38" t="s">
        <v>67</v>
      </c>
      <c r="E21" s="39" t="s">
        <v>68</v>
      </c>
      <c r="F21" s="40">
        <v>32808</v>
      </c>
      <c r="G21" s="39">
        <v>47916</v>
      </c>
      <c r="H21" s="41" t="s">
        <v>32</v>
      </c>
      <c r="I21" s="41" t="s">
        <v>69</v>
      </c>
      <c r="J21" s="42" t="s">
        <v>70</v>
      </c>
      <c r="K21" s="43" t="s">
        <v>74</v>
      </c>
      <c r="L21" s="44" t="s">
        <v>72</v>
      </c>
      <c r="M21" s="45" t="s">
        <v>37</v>
      </c>
      <c r="N21" s="46">
        <v>2</v>
      </c>
      <c r="O21" s="41"/>
      <c r="P21" s="41"/>
      <c r="Q21" s="47">
        <f t="shared" si="0"/>
        <v>2</v>
      </c>
      <c r="R21" s="48"/>
      <c r="S21" s="49">
        <f t="shared" si="1"/>
        <v>2</v>
      </c>
      <c r="T21" s="49"/>
      <c r="U21" s="50"/>
      <c r="V21" s="51"/>
      <c r="W21" s="52"/>
      <c r="X21" s="51"/>
      <c r="Y21" s="52"/>
      <c r="Z21" s="51"/>
      <c r="AA21" s="52"/>
      <c r="AB21" s="51"/>
      <c r="AC21" s="52"/>
      <c r="AD21" s="51"/>
      <c r="AE21" s="52"/>
      <c r="AF21" s="51"/>
      <c r="AG21" s="52"/>
      <c r="AH21" s="51"/>
      <c r="AI21" s="52"/>
      <c r="AJ21" s="51"/>
      <c r="AK21" s="52"/>
      <c r="AL21" s="51"/>
      <c r="AM21" s="52"/>
      <c r="AN21" s="51"/>
      <c r="AO21" s="52"/>
      <c r="AP21" s="51"/>
      <c r="AQ21" s="52"/>
      <c r="AR21" s="51"/>
      <c r="AS21" s="52"/>
      <c r="AT21" s="51"/>
      <c r="AU21" s="52"/>
      <c r="AV21" s="51"/>
      <c r="AW21" s="52"/>
      <c r="AX21" s="51"/>
      <c r="AY21" s="53">
        <f t="shared" si="2"/>
        <v>0</v>
      </c>
      <c r="AZ21" s="47">
        <f t="shared" si="3"/>
        <v>2</v>
      </c>
      <c r="BA21" s="46">
        <v>2</v>
      </c>
      <c r="BB21" s="47">
        <f t="shared" si="4"/>
        <v>0</v>
      </c>
    </row>
    <row r="22" spans="3:54" x14ac:dyDescent="0.25">
      <c r="C22" s="37" t="s">
        <v>75</v>
      </c>
      <c r="D22" s="38" t="s">
        <v>67</v>
      </c>
      <c r="E22" s="39" t="s">
        <v>68</v>
      </c>
      <c r="F22" s="40">
        <v>32808</v>
      </c>
      <c r="G22" s="39">
        <v>47916</v>
      </c>
      <c r="H22" s="41" t="s">
        <v>32</v>
      </c>
      <c r="I22" s="41" t="s">
        <v>69</v>
      </c>
      <c r="J22" s="42" t="s">
        <v>70</v>
      </c>
      <c r="K22" s="43" t="s">
        <v>76</v>
      </c>
      <c r="L22" s="44" t="s">
        <v>72</v>
      </c>
      <c r="M22" s="45" t="s">
        <v>37</v>
      </c>
      <c r="N22" s="46">
        <v>2</v>
      </c>
      <c r="O22" s="41"/>
      <c r="P22" s="41"/>
      <c r="Q22" s="47">
        <f t="shared" si="0"/>
        <v>2</v>
      </c>
      <c r="R22" s="48"/>
      <c r="S22" s="49">
        <f t="shared" si="1"/>
        <v>2</v>
      </c>
      <c r="T22" s="49"/>
      <c r="U22" s="50"/>
      <c r="V22" s="51"/>
      <c r="W22" s="52"/>
      <c r="X22" s="51"/>
      <c r="Y22" s="52"/>
      <c r="Z22" s="51"/>
      <c r="AA22" s="52"/>
      <c r="AB22" s="51"/>
      <c r="AC22" s="52"/>
      <c r="AD22" s="51"/>
      <c r="AE22" s="52"/>
      <c r="AF22" s="51"/>
      <c r="AG22" s="52"/>
      <c r="AH22" s="51"/>
      <c r="AI22" s="52"/>
      <c r="AJ22" s="51"/>
      <c r="AK22" s="52"/>
      <c r="AL22" s="51"/>
      <c r="AM22" s="52"/>
      <c r="AN22" s="51"/>
      <c r="AO22" s="52"/>
      <c r="AP22" s="51"/>
      <c r="AQ22" s="52"/>
      <c r="AR22" s="51"/>
      <c r="AS22" s="52"/>
      <c r="AT22" s="51"/>
      <c r="AU22" s="52"/>
      <c r="AV22" s="51"/>
      <c r="AW22" s="52"/>
      <c r="AX22" s="51"/>
      <c r="AY22" s="53">
        <f t="shared" si="2"/>
        <v>0</v>
      </c>
      <c r="AZ22" s="47">
        <f t="shared" si="3"/>
        <v>2</v>
      </c>
      <c r="BA22" s="46">
        <v>2</v>
      </c>
      <c r="BB22" s="47">
        <f t="shared" si="4"/>
        <v>0</v>
      </c>
    </row>
  </sheetData>
  <mergeCells count="3">
    <mergeCell ref="O6:P6"/>
    <mergeCell ref="Q6:R6"/>
    <mergeCell ref="AZ6:B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7D5F-7199-4359-A673-A3FF93A2B7B7}">
  <dimension ref="D2:AQ9"/>
  <sheetViews>
    <sheetView workbookViewId="0">
      <selection activeCell="K14" sqref="K14"/>
    </sheetView>
  </sheetViews>
  <sheetFormatPr baseColWidth="10" defaultRowHeight="15" x14ac:dyDescent="0.25"/>
  <sheetData>
    <row r="2" spans="4:43" ht="23.25" x14ac:dyDescent="0.25">
      <c r="D2" s="87" t="s">
        <v>84</v>
      </c>
      <c r="E2" s="88"/>
      <c r="F2" s="89"/>
      <c r="G2" s="90"/>
      <c r="H2" s="91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</row>
    <row r="3" spans="4:43" ht="16.5" thickBot="1" x14ac:dyDescent="0.3">
      <c r="D3" s="90"/>
      <c r="E3" s="90"/>
      <c r="F3" s="90"/>
      <c r="G3" s="93"/>
      <c r="H3" s="94"/>
      <c r="I3" s="94"/>
      <c r="J3" s="92"/>
      <c r="K3" s="92"/>
      <c r="L3" s="90"/>
      <c r="M3" s="90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5"/>
      <c r="AQ3" s="3"/>
    </row>
    <row r="4" spans="4:43" ht="19.5" thickBot="1" x14ac:dyDescent="0.35">
      <c r="D4" s="96" t="s">
        <v>85</v>
      </c>
      <c r="E4" s="97"/>
      <c r="F4" s="98"/>
      <c r="G4" s="99"/>
      <c r="H4" s="91"/>
      <c r="I4" s="100" t="s">
        <v>86</v>
      </c>
      <c r="J4" s="101"/>
      <c r="K4" s="102"/>
      <c r="L4" s="103"/>
      <c r="M4" s="104" t="s">
        <v>5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 t="s">
        <v>7</v>
      </c>
      <c r="AP4" s="107"/>
      <c r="AQ4" s="108"/>
    </row>
    <row r="5" spans="4:43" ht="32.25" thickBot="1" x14ac:dyDescent="0.3">
      <c r="D5" s="22" t="s">
        <v>8</v>
      </c>
      <c r="E5" s="22" t="s">
        <v>87</v>
      </c>
      <c r="F5" s="22" t="s">
        <v>88</v>
      </c>
      <c r="G5" s="109" t="s">
        <v>89</v>
      </c>
      <c r="H5" s="110" t="s">
        <v>90</v>
      </c>
      <c r="I5" s="111" t="s">
        <v>22</v>
      </c>
      <c r="J5" s="112" t="s">
        <v>91</v>
      </c>
      <c r="K5" s="113" t="s">
        <v>22</v>
      </c>
      <c r="L5" s="113" t="s">
        <v>21</v>
      </c>
      <c r="M5" s="114" t="s">
        <v>23</v>
      </c>
      <c r="N5" s="115" t="s">
        <v>22</v>
      </c>
      <c r="O5" s="116" t="s">
        <v>21</v>
      </c>
      <c r="P5" s="115" t="s">
        <v>22</v>
      </c>
      <c r="Q5" s="116" t="s">
        <v>21</v>
      </c>
      <c r="R5" s="115" t="s">
        <v>22</v>
      </c>
      <c r="S5" s="116" t="s">
        <v>21</v>
      </c>
      <c r="T5" s="115" t="s">
        <v>22</v>
      </c>
      <c r="U5" s="116" t="s">
        <v>21</v>
      </c>
      <c r="V5" s="115" t="s">
        <v>22</v>
      </c>
      <c r="W5" s="116" t="s">
        <v>21</v>
      </c>
      <c r="X5" s="115" t="s">
        <v>22</v>
      </c>
      <c r="Y5" s="116" t="s">
        <v>21</v>
      </c>
      <c r="Z5" s="115" t="s">
        <v>22</v>
      </c>
      <c r="AA5" s="116" t="s">
        <v>21</v>
      </c>
      <c r="AB5" s="115" t="s">
        <v>22</v>
      </c>
      <c r="AC5" s="116" t="s">
        <v>21</v>
      </c>
      <c r="AD5" s="115" t="s">
        <v>22</v>
      </c>
      <c r="AE5" s="116" t="s">
        <v>21</v>
      </c>
      <c r="AF5" s="115" t="s">
        <v>22</v>
      </c>
      <c r="AG5" s="116" t="s">
        <v>21</v>
      </c>
      <c r="AH5" s="115" t="s">
        <v>22</v>
      </c>
      <c r="AI5" s="116" t="s">
        <v>21</v>
      </c>
      <c r="AJ5" s="115" t="s">
        <v>22</v>
      </c>
      <c r="AK5" s="116" t="s">
        <v>21</v>
      </c>
      <c r="AL5" s="115" t="s">
        <v>22</v>
      </c>
      <c r="AM5" s="116" t="s">
        <v>21</v>
      </c>
      <c r="AN5" s="117" t="s">
        <v>25</v>
      </c>
      <c r="AO5" s="118" t="s">
        <v>26</v>
      </c>
      <c r="AP5" s="119" t="s">
        <v>27</v>
      </c>
      <c r="AQ5" s="120" t="s">
        <v>28</v>
      </c>
    </row>
    <row r="6" spans="4:43" ht="15.75" thickBot="1" x14ac:dyDescent="0.3">
      <c r="D6" s="58" t="s">
        <v>77</v>
      </c>
      <c r="E6" s="59"/>
      <c r="F6" s="60"/>
      <c r="G6" s="61"/>
      <c r="H6" s="62"/>
      <c r="I6" s="63"/>
      <c r="J6" s="63"/>
      <c r="K6" s="64"/>
      <c r="L6" s="64"/>
      <c r="M6" s="65"/>
      <c r="N6" s="66"/>
      <c r="O6" s="67"/>
      <c r="P6" s="68"/>
      <c r="Q6" s="67"/>
      <c r="R6" s="69"/>
      <c r="S6" s="67"/>
      <c r="T6" s="69"/>
      <c r="U6" s="67"/>
      <c r="V6" s="69"/>
      <c r="W6" s="67"/>
      <c r="X6" s="69"/>
      <c r="Y6" s="67"/>
      <c r="Z6" s="69"/>
      <c r="AA6" s="67"/>
      <c r="AB6" s="69"/>
      <c r="AC6" s="67"/>
      <c r="AD6" s="69"/>
      <c r="AE6" s="67"/>
      <c r="AF6" s="69"/>
      <c r="AG6" s="67"/>
      <c r="AH6" s="69"/>
      <c r="AI6" s="67"/>
      <c r="AJ6" s="69"/>
      <c r="AK6" s="67"/>
      <c r="AL6" s="69"/>
      <c r="AM6" s="67"/>
      <c r="AN6" s="70"/>
      <c r="AO6" s="62"/>
      <c r="AP6" s="62"/>
      <c r="AQ6" s="71"/>
    </row>
    <row r="7" spans="4:43" x14ac:dyDescent="0.25">
      <c r="D7" s="72">
        <v>1080</v>
      </c>
      <c r="E7" s="73" t="s">
        <v>78</v>
      </c>
      <c r="F7" s="43" t="s">
        <v>79</v>
      </c>
      <c r="G7" s="74" t="s">
        <v>80</v>
      </c>
      <c r="H7" s="75"/>
      <c r="I7" s="76">
        <v>2</v>
      </c>
      <c r="J7" s="76">
        <v>818</v>
      </c>
      <c r="K7" s="77"/>
      <c r="L7" s="77"/>
      <c r="M7" s="78">
        <f t="shared" ref="M6:M9" si="0">+H7+I7</f>
        <v>2</v>
      </c>
      <c r="N7" s="79"/>
      <c r="O7" s="80"/>
      <c r="P7" s="81"/>
      <c r="Q7" s="80"/>
      <c r="R7" s="82"/>
      <c r="S7" s="80"/>
      <c r="T7" s="82"/>
      <c r="U7" s="80"/>
      <c r="V7" s="82"/>
      <c r="W7" s="80"/>
      <c r="X7" s="82"/>
      <c r="Y7" s="80"/>
      <c r="Z7" s="82"/>
      <c r="AA7" s="80"/>
      <c r="AB7" s="82"/>
      <c r="AC7" s="80"/>
      <c r="AD7" s="82"/>
      <c r="AE7" s="80"/>
      <c r="AF7" s="82"/>
      <c r="AG7" s="80"/>
      <c r="AH7" s="82"/>
      <c r="AI7" s="80"/>
      <c r="AJ7" s="82"/>
      <c r="AK7" s="80"/>
      <c r="AL7" s="82"/>
      <c r="AM7" s="80"/>
      <c r="AN7" s="83">
        <f t="shared" ref="AN6:AN9" si="1">+AL7+AJ7+AH7+AF7+AD7+AB7+Z7+X7+V7+T7+R7+P7+N7</f>
        <v>0</v>
      </c>
      <c r="AO7" s="84">
        <f t="shared" ref="AO7:AO9" si="2">+M7-AN7</f>
        <v>2</v>
      </c>
      <c r="AP7" s="75">
        <v>2</v>
      </c>
      <c r="AQ7" s="85">
        <f t="shared" ref="AQ7:AQ9" si="3">+AP7-AO7</f>
        <v>0</v>
      </c>
    </row>
    <row r="8" spans="4:43" x14ac:dyDescent="0.25">
      <c r="D8" s="72">
        <v>1083</v>
      </c>
      <c r="E8" s="73" t="s">
        <v>81</v>
      </c>
      <c r="F8" s="43" t="s">
        <v>82</v>
      </c>
      <c r="G8" s="74" t="s">
        <v>37</v>
      </c>
      <c r="H8" s="75"/>
      <c r="I8" s="76">
        <v>10</v>
      </c>
      <c r="J8" s="76">
        <v>819</v>
      </c>
      <c r="K8" s="77"/>
      <c r="L8" s="77"/>
      <c r="M8" s="78">
        <f t="shared" si="0"/>
        <v>10</v>
      </c>
      <c r="N8" s="79"/>
      <c r="O8" s="80"/>
      <c r="P8" s="81"/>
      <c r="Q8" s="80"/>
      <c r="R8" s="82"/>
      <c r="S8" s="80"/>
      <c r="T8" s="82"/>
      <c r="U8" s="80"/>
      <c r="V8" s="82"/>
      <c r="W8" s="80"/>
      <c r="X8" s="82"/>
      <c r="Y8" s="80"/>
      <c r="Z8" s="82"/>
      <c r="AA8" s="80"/>
      <c r="AB8" s="82"/>
      <c r="AC8" s="80"/>
      <c r="AD8" s="82"/>
      <c r="AE8" s="80"/>
      <c r="AF8" s="82"/>
      <c r="AG8" s="80"/>
      <c r="AH8" s="82"/>
      <c r="AI8" s="80"/>
      <c r="AJ8" s="82"/>
      <c r="AK8" s="80"/>
      <c r="AL8" s="82"/>
      <c r="AM8" s="80"/>
      <c r="AN8" s="83">
        <f t="shared" si="1"/>
        <v>0</v>
      </c>
      <c r="AO8" s="84">
        <f t="shared" si="2"/>
        <v>10</v>
      </c>
      <c r="AP8" s="75">
        <v>10</v>
      </c>
      <c r="AQ8" s="85">
        <f t="shared" si="3"/>
        <v>0</v>
      </c>
    </row>
    <row r="9" spans="4:43" x14ac:dyDescent="0.25">
      <c r="D9" s="72">
        <v>1084</v>
      </c>
      <c r="E9" s="73" t="s">
        <v>30</v>
      </c>
      <c r="F9" s="43" t="s">
        <v>79</v>
      </c>
      <c r="G9" s="74" t="s">
        <v>83</v>
      </c>
      <c r="H9" s="75"/>
      <c r="I9" s="86">
        <v>1.2</v>
      </c>
      <c r="J9" s="76">
        <v>819</v>
      </c>
      <c r="K9" s="77"/>
      <c r="L9" s="77"/>
      <c r="M9" s="78">
        <f t="shared" si="0"/>
        <v>1.2</v>
      </c>
      <c r="N9" s="79"/>
      <c r="O9" s="80"/>
      <c r="P9" s="81"/>
      <c r="Q9" s="80"/>
      <c r="R9" s="82"/>
      <c r="S9" s="80"/>
      <c r="T9" s="82"/>
      <c r="U9" s="80"/>
      <c r="V9" s="82"/>
      <c r="W9" s="80"/>
      <c r="X9" s="82"/>
      <c r="Y9" s="80"/>
      <c r="Z9" s="82"/>
      <c r="AA9" s="80"/>
      <c r="AB9" s="82"/>
      <c r="AC9" s="80"/>
      <c r="AD9" s="82"/>
      <c r="AE9" s="80"/>
      <c r="AF9" s="82"/>
      <c r="AG9" s="80"/>
      <c r="AH9" s="82"/>
      <c r="AI9" s="80"/>
      <c r="AJ9" s="82"/>
      <c r="AK9" s="80"/>
      <c r="AL9" s="82"/>
      <c r="AM9" s="80"/>
      <c r="AN9" s="83">
        <f t="shared" si="1"/>
        <v>0</v>
      </c>
      <c r="AO9" s="84">
        <f t="shared" si="2"/>
        <v>1.2</v>
      </c>
      <c r="AP9" s="75">
        <v>1.2</v>
      </c>
      <c r="AQ9" s="85">
        <f t="shared" si="3"/>
        <v>0</v>
      </c>
    </row>
  </sheetData>
  <mergeCells count="2">
    <mergeCell ref="I4:J4"/>
    <mergeCell ref="AO4:A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</vt:lpstr>
      <vt:lpstr>DEVOLUCIONES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a2809</dc:creator>
  <cp:lastModifiedBy>a2809</cp:lastModifiedBy>
  <dcterms:created xsi:type="dcterms:W3CDTF">2026-08-24T15:19:22Z</dcterms:created>
  <dcterms:modified xsi:type="dcterms:W3CDTF">2026-08-24T16:42:46Z</dcterms:modified>
</cp:coreProperties>
</file>